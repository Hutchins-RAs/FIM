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oja\fim\"/>
    </mc:Choice>
  </mc:AlternateContent>
  <xr:revisionPtr revIDLastSave="0" documentId="13_ncr:40009_{3C5D7DCA-6B7D-42D0-8C0E-67789F3B654F}" xr6:coauthVersionLast="47" xr6:coauthVersionMax="47" xr10:uidLastSave="{00000000-0000-0000-0000-000000000000}"/>
  <bookViews>
    <workbookView xWindow="-110" yWindow="-110" windowWidth="22780" windowHeight="14540"/>
  </bookViews>
  <sheets>
    <sheet name="interactive-12-2023" sheetId="1" r:id="rId1"/>
  </sheets>
  <calcPr calcId="0"/>
</workbook>
</file>

<file path=xl/calcChain.xml><?xml version="1.0" encoding="utf-8"?>
<calcChain xmlns="http://schemas.openxmlformats.org/spreadsheetml/2006/main">
  <c r="K4" i="1" l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/>
  <c r="K71" i="1"/>
  <c r="L71" i="1" s="1"/>
  <c r="K72" i="1"/>
  <c r="L72" i="1" s="1"/>
  <c r="K73" i="1"/>
  <c r="L73" i="1" s="1"/>
  <c r="K74" i="1"/>
  <c r="L74" i="1"/>
  <c r="K75" i="1"/>
  <c r="L75" i="1" s="1"/>
  <c r="K76" i="1"/>
  <c r="L76" i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3" i="1"/>
  <c r="L3" i="1" s="1"/>
  <c r="M61" i="1" l="1"/>
  <c r="N61" i="1" s="1"/>
  <c r="M101" i="1"/>
  <c r="N101" i="1" s="1"/>
  <c r="M37" i="1"/>
  <c r="N37" i="1" s="1"/>
  <c r="M69" i="1"/>
  <c r="N69" i="1" s="1"/>
  <c r="M105" i="1"/>
  <c r="N105" i="1" s="1"/>
  <c r="M73" i="1"/>
  <c r="N73" i="1" s="1"/>
  <c r="M41" i="1"/>
  <c r="N41" i="1" s="1"/>
  <c r="M9" i="1"/>
  <c r="N9" i="1" s="1"/>
  <c r="M93" i="1"/>
  <c r="N93" i="1" s="1"/>
  <c r="M77" i="1"/>
  <c r="N77" i="1" s="1"/>
  <c r="M45" i="1"/>
  <c r="N45" i="1" s="1"/>
  <c r="M13" i="1"/>
  <c r="N13" i="1" s="1"/>
  <c r="M81" i="1"/>
  <c r="N81" i="1" s="1"/>
  <c r="M17" i="1"/>
  <c r="N17" i="1" s="1"/>
  <c r="M33" i="1"/>
  <c r="N33" i="1" s="1"/>
  <c r="M49" i="1"/>
  <c r="N49" i="1" s="1"/>
  <c r="M85" i="1"/>
  <c r="N85" i="1" s="1"/>
  <c r="M53" i="1"/>
  <c r="N53" i="1" s="1"/>
  <c r="M21" i="1"/>
  <c r="N21" i="1" s="1"/>
  <c r="M29" i="1"/>
  <c r="N29" i="1" s="1"/>
  <c r="M25" i="1"/>
  <c r="N25" i="1" s="1"/>
  <c r="M103" i="1"/>
  <c r="N103" i="1" s="1"/>
  <c r="M92" i="1"/>
  <c r="N92" i="1" s="1"/>
  <c r="M84" i="1"/>
  <c r="N84" i="1" s="1"/>
  <c r="M75" i="1"/>
  <c r="N75" i="1" s="1"/>
  <c r="Q20" i="1" s="1" a="1"/>
  <c r="Q20" i="1" s="1"/>
  <c r="M67" i="1"/>
  <c r="N67" i="1" s="1"/>
  <c r="Q18" i="1" s="1" a="1"/>
  <c r="Q18" i="1" s="1"/>
  <c r="M59" i="1"/>
  <c r="N59" i="1" s="1"/>
  <c r="Q16" i="1" s="1" a="1"/>
  <c r="Q16" i="1" s="1"/>
  <c r="M51" i="1"/>
  <c r="N51" i="1" s="1"/>
  <c r="Q14" i="1" s="1" a="1"/>
  <c r="Q14" i="1" s="1"/>
  <c r="M43" i="1"/>
  <c r="N43" i="1" s="1"/>
  <c r="Q12" i="1" s="1" a="1"/>
  <c r="Q12" i="1" s="1"/>
  <c r="M31" i="1"/>
  <c r="N31" i="1" s="1"/>
  <c r="Q9" i="1" s="1" a="1"/>
  <c r="Q9" i="1" s="1"/>
  <c r="M19" i="1"/>
  <c r="N19" i="1" s="1"/>
  <c r="Q6" i="1" s="1" a="1"/>
  <c r="Q6" i="1" s="1"/>
  <c r="M106" i="1"/>
  <c r="N106" i="1" s="1"/>
  <c r="M94" i="1"/>
  <c r="N94" i="1" s="1"/>
  <c r="M90" i="1"/>
  <c r="N90" i="1" s="1"/>
  <c r="M86" i="1"/>
  <c r="N86" i="1" s="1"/>
  <c r="M82" i="1"/>
  <c r="N82" i="1" s="1"/>
  <c r="M78" i="1"/>
  <c r="N78" i="1" s="1"/>
  <c r="M74" i="1"/>
  <c r="N74" i="1" s="1"/>
  <c r="M70" i="1"/>
  <c r="N70" i="1" s="1"/>
  <c r="M62" i="1"/>
  <c r="N62" i="1" s="1"/>
  <c r="M58" i="1"/>
  <c r="N58" i="1" s="1"/>
  <c r="M54" i="1"/>
  <c r="N54" i="1" s="1"/>
  <c r="M50" i="1"/>
  <c r="N50" i="1" s="1"/>
  <c r="M46" i="1"/>
  <c r="N46" i="1" s="1"/>
  <c r="M42" i="1"/>
  <c r="N42" i="1" s="1"/>
  <c r="M38" i="1"/>
  <c r="N38" i="1" s="1"/>
  <c r="M34" i="1"/>
  <c r="N34" i="1" s="1"/>
  <c r="M30" i="1"/>
  <c r="N30" i="1" s="1"/>
  <c r="M26" i="1"/>
  <c r="N26" i="1" s="1"/>
  <c r="M22" i="1"/>
  <c r="N22" i="1" s="1"/>
  <c r="M18" i="1"/>
  <c r="N18" i="1" s="1"/>
  <c r="M14" i="1"/>
  <c r="N14" i="1" s="1"/>
  <c r="M10" i="1"/>
  <c r="N10" i="1" s="1"/>
  <c r="M102" i="1"/>
  <c r="N102" i="1" s="1"/>
  <c r="M99" i="1"/>
  <c r="N99" i="1" s="1"/>
  <c r="Q26" i="1" s="1" a="1"/>
  <c r="Q26" i="1" s="1"/>
  <c r="M95" i="1"/>
  <c r="N95" i="1" s="1"/>
  <c r="Q25" i="1" s="1" a="1"/>
  <c r="Q25" i="1" s="1"/>
  <c r="M89" i="1"/>
  <c r="N89" i="1" s="1"/>
  <c r="M79" i="1"/>
  <c r="N79" i="1" s="1"/>
  <c r="Q21" i="1" s="1" a="1"/>
  <c r="Q21" i="1" s="1"/>
  <c r="M71" i="1"/>
  <c r="N71" i="1" s="1"/>
  <c r="Q19" i="1" s="1" a="1"/>
  <c r="Q19" i="1" s="1"/>
  <c r="M65" i="1"/>
  <c r="N65" i="1" s="1"/>
  <c r="M55" i="1"/>
  <c r="N55" i="1" s="1"/>
  <c r="Q15" i="1" s="1" a="1"/>
  <c r="Q15" i="1" s="1"/>
  <c r="M47" i="1"/>
  <c r="N47" i="1" s="1"/>
  <c r="Q13" i="1" s="1" a="1"/>
  <c r="Q13" i="1" s="1"/>
  <c r="M39" i="1"/>
  <c r="N39" i="1" s="1"/>
  <c r="Q11" i="1" s="1" a="1"/>
  <c r="Q11" i="1" s="1"/>
  <c r="M35" i="1"/>
  <c r="N35" i="1" s="1"/>
  <c r="Q10" i="1" s="1" a="1"/>
  <c r="Q10" i="1" s="1"/>
  <c r="M27" i="1"/>
  <c r="N27" i="1" s="1"/>
  <c r="Q8" i="1" s="1" a="1"/>
  <c r="Q8" i="1" s="1"/>
  <c r="M23" i="1"/>
  <c r="N23" i="1" s="1"/>
  <c r="Q7" i="1" s="1" a="1"/>
  <c r="Q7" i="1" s="1"/>
  <c r="M15" i="1"/>
  <c r="N15" i="1" s="1"/>
  <c r="Q5" i="1" s="1" a="1"/>
  <c r="Q5" i="1" s="1"/>
  <c r="M11" i="1"/>
  <c r="N11" i="1" s="1"/>
  <c r="Q4" i="1" s="1" a="1"/>
  <c r="Q4" i="1" s="1"/>
  <c r="M104" i="1"/>
  <c r="N104" i="1" s="1"/>
  <c r="M100" i="1"/>
  <c r="N100" i="1" s="1"/>
  <c r="M96" i="1"/>
  <c r="N96" i="1" s="1"/>
  <c r="M88" i="1"/>
  <c r="N88" i="1" s="1"/>
  <c r="M80" i="1"/>
  <c r="N80" i="1" s="1"/>
  <c r="M76" i="1"/>
  <c r="N76" i="1" s="1"/>
  <c r="M72" i="1"/>
  <c r="N72" i="1" s="1"/>
  <c r="M68" i="1"/>
  <c r="N68" i="1" s="1"/>
  <c r="M64" i="1"/>
  <c r="N64" i="1" s="1"/>
  <c r="M56" i="1"/>
  <c r="N56" i="1" s="1"/>
  <c r="M48" i="1"/>
  <c r="N48" i="1" s="1"/>
  <c r="M44" i="1"/>
  <c r="N44" i="1" s="1"/>
  <c r="M40" i="1"/>
  <c r="N40" i="1" s="1"/>
  <c r="M36" i="1"/>
  <c r="N36" i="1" s="1"/>
  <c r="M32" i="1"/>
  <c r="N32" i="1" s="1"/>
  <c r="M28" i="1"/>
  <c r="N28" i="1" s="1"/>
  <c r="M24" i="1"/>
  <c r="N24" i="1" s="1"/>
  <c r="M20" i="1"/>
  <c r="N20" i="1" s="1"/>
  <c r="M16" i="1"/>
  <c r="N16" i="1" s="1"/>
  <c r="M12" i="1"/>
  <c r="N12" i="1" s="1"/>
  <c r="M8" i="1"/>
  <c r="N8" i="1" s="1"/>
  <c r="M7" i="1"/>
  <c r="N7" i="1" s="1"/>
  <c r="Q3" i="1" s="1" a="1"/>
  <c r="Q3" i="1" s="1"/>
  <c r="M6" i="1"/>
  <c r="N6" i="1" s="1"/>
  <c r="M66" i="1"/>
  <c r="N66" i="1" s="1"/>
  <c r="M57" i="1"/>
  <c r="N57" i="1" s="1"/>
  <c r="M52" i="1"/>
  <c r="N52" i="1" s="1"/>
  <c r="M98" i="1"/>
  <c r="N98" i="1" s="1"/>
  <c r="M97" i="1"/>
  <c r="N97" i="1" s="1"/>
  <c r="M83" i="1"/>
  <c r="N83" i="1" s="1"/>
  <c r="Q22" i="1" s="1" a="1"/>
  <c r="Q22" i="1" s="1"/>
  <c r="M60" i="1"/>
  <c r="N60" i="1" s="1"/>
  <c r="M87" i="1"/>
  <c r="N87" i="1" s="1"/>
  <c r="Q23" i="1" s="1" a="1"/>
  <c r="Q23" i="1" s="1"/>
  <c r="M91" i="1"/>
  <c r="N91" i="1" s="1"/>
  <c r="Q24" i="1" s="1" a="1"/>
  <c r="Q24" i="1" s="1"/>
  <c r="M63" i="1"/>
  <c r="N63" i="1" s="1"/>
  <c r="Q17" i="1" s="1" a="1"/>
  <c r="Q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<sst xmlns="http://schemas.openxmlformats.org/spreadsheetml/2006/main" count="122" uniqueCount="22">
  <si>
    <t>year</t>
  </si>
  <si>
    <t>quarter</t>
  </si>
  <si>
    <t>impact</t>
  </si>
  <si>
    <t>recession</t>
  </si>
  <si>
    <t>total</t>
  </si>
  <si>
    <t>federal</t>
  </si>
  <si>
    <t>state_local</t>
  </si>
  <si>
    <t>consumption</t>
  </si>
  <si>
    <t>projection</t>
  </si>
  <si>
    <t>Q4</t>
  </si>
  <si>
    <t>Q1</t>
  </si>
  <si>
    <t>Q2</t>
  </si>
  <si>
    <t>Q3</t>
  </si>
  <si>
    <t>compounded last 4 quarters</t>
  </si>
  <si>
    <t>state local (quarterly proportion)</t>
  </si>
  <si>
    <t>state local  (annual proportion)</t>
  </si>
  <si>
    <t>state local (annual percent)</t>
  </si>
  <si>
    <t>Year</t>
  </si>
  <si>
    <t>S&amp;L FIM, Annual</t>
  </si>
  <si>
    <t>RESULT</t>
  </si>
  <si>
    <t>As reported in FIM</t>
  </si>
  <si>
    <t>Geometrically averaging quarterly annualized S&amp;L FIM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</si>
</sst>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18" fillId="0" borderId="0" xfId="0" applyFont="1"/>
    <xf numFmtId="0" fontId="0" fillId="0" borderId="11" xfId="0" applyBorder="1"/>
    <xf numFmtId="0" fontId="0" fillId="0" borderId="12" xfId="0" applyFill="1" applyBorder="1" applyAlignment="1">
      <alignment wrapText="1"/>
    </xf>
    <xf numFmtId="0" fontId="0" fillId="0" borderId="13" xfId="0" applyBorder="1"/>
    <xf numFmtId="0" fontId="0" fillId="34" borderId="10" xfId="0" applyFill="1" applyBorder="1"/>
    <xf numFmtId="0" fontId="0" fillId="34" borderId="10" xfId="0" applyFill="1" applyBorder="1" applyAlignment="1">
      <alignment wrapText="1"/>
    </xf>
    <xf numFmtId="0" fontId="0" fillId="35" borderId="10" xfId="0" applyFill="1" applyBorder="1"/>
    <xf numFmtId="0" fontId="0" fillId="35" borderId="10" xfId="0" applyFill="1" applyBorder="1" applyAlignment="1">
      <alignment wrapText="1"/>
    </xf>
    <xf numFmtId="0" fontId="0" fillId="0" borderId="0" xfId="0" applyBorder="1"/>
    <xf numFmtId="0" fontId="0" fillId="0" borderId="12" xfId="0" applyBorder="1"/>
    <xf numFmtId="11" fontId="0" fillId="0" borderId="0" xfId="0" applyNumberFormat="1" applyBorder="1"/>
    <xf numFmtId="0" fontId="0" fillId="0" borderId="15" xfId="0" applyBorder="1"/>
    <xf numFmtId="0" fontId="0" fillId="0" borderId="14" xfId="0" applyBorder="1"/>
    <xf numFmtId="0" fontId="0" fillId="33" borderId="16" xfId="0" applyFill="1" applyBorder="1"/>
    <xf numFmtId="0" fontId="0" fillId="33" borderId="17" xfId="0" applyFill="1" applyBorder="1"/>
    <xf numFmtId="0" fontId="0" fillId="33" borderId="18" xfId="0" applyFill="1" applyBorder="1"/>
    <xf numFmtId="0" fontId="0" fillId="0" borderId="11" xfId="0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1" xfId="0" applyFill="1" applyBorder="1"/>
    <xf numFmtId="0" fontId="0" fillId="0" borderId="0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5" xfId="0" applyFill="1" applyBorder="1" applyAlignment="1">
      <alignment wrapText="1"/>
    </xf>
    <xf numFmtId="0" fontId="0" fillId="0" borderId="15" xfId="0" applyFill="1" applyBorder="1"/>
    <xf numFmtId="0" fontId="0" fillId="0" borderId="14" xfId="0" applyFill="1" applyBorder="1"/>
    <xf numFmtId="0" fontId="0" fillId="36" borderId="16" xfId="0" applyFill="1" applyBorder="1"/>
    <xf numFmtId="0" fontId="0" fillId="36" borderId="17" xfId="0" applyFill="1" applyBorder="1" applyAlignment="1">
      <alignment wrapText="1"/>
    </xf>
    <xf numFmtId="0" fontId="0" fillId="36" borderId="17" xfId="0" applyFill="1" applyBorder="1"/>
    <xf numFmtId="0" fontId="0" fillId="36" borderId="18" xfId="0" applyFill="1" applyBorder="1"/>
    <xf numFmtId="0" fontId="0" fillId="37" borderId="16" xfId="0" applyFill="1" applyBorder="1"/>
    <xf numFmtId="0" fontId="0" fillId="37" borderId="18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6"/>
  <sheetViews>
    <sheetView tabSelected="1" zoomScale="103" workbookViewId="0">
      <selection activeCell="O15" sqref="O15"/>
    </sheetView>
  </sheetViews>
  <sheetFormatPr defaultRowHeight="14.5" x14ac:dyDescent="0.35"/>
  <cols>
    <col min="9" max="9" width="9.7265625" customWidth="1"/>
    <col min="11" max="11" width="16.08984375" customWidth="1"/>
    <col min="12" max="12" width="15.26953125" style="1" customWidth="1"/>
    <col min="13" max="13" width="14.81640625" customWidth="1"/>
    <col min="14" max="14" width="16.7265625" customWidth="1"/>
    <col min="17" max="17" width="12.54296875" bestFit="1" customWidth="1"/>
  </cols>
  <sheetData>
    <row r="1" spans="1:18" x14ac:dyDescent="0.35">
      <c r="A1" s="16" t="s">
        <v>20</v>
      </c>
      <c r="B1" s="17"/>
      <c r="C1" s="17"/>
      <c r="D1" s="17"/>
      <c r="E1" s="17"/>
      <c r="F1" s="17"/>
      <c r="G1" s="17"/>
      <c r="H1" s="17"/>
      <c r="I1" s="18"/>
      <c r="K1" s="28" t="s">
        <v>21</v>
      </c>
      <c r="L1" s="29"/>
      <c r="M1" s="30"/>
      <c r="N1" s="31"/>
      <c r="P1" s="32" t="s">
        <v>19</v>
      </c>
      <c r="Q1" s="33"/>
    </row>
    <row r="2" spans="1:18" ht="43.5" x14ac:dyDescent="0.35">
      <c r="A2" s="4" t="s">
        <v>0</v>
      </c>
      <c r="B2" s="11" t="s">
        <v>1</v>
      </c>
      <c r="C2" s="11" t="s">
        <v>2</v>
      </c>
      <c r="D2" s="11" t="s">
        <v>3</v>
      </c>
      <c r="E2" s="11" t="s">
        <v>4</v>
      </c>
      <c r="F2" s="11" t="s">
        <v>5</v>
      </c>
      <c r="G2" s="11" t="s">
        <v>6</v>
      </c>
      <c r="H2" s="11" t="s">
        <v>7</v>
      </c>
      <c r="I2" s="12" t="s">
        <v>8</v>
      </c>
      <c r="K2" s="19" t="s">
        <v>15</v>
      </c>
      <c r="L2" s="20" t="s">
        <v>14</v>
      </c>
      <c r="M2" s="20" t="s">
        <v>13</v>
      </c>
      <c r="N2" s="5" t="s">
        <v>16</v>
      </c>
      <c r="O2" s="1"/>
      <c r="P2" s="9" t="s">
        <v>17</v>
      </c>
      <c r="Q2" s="10" t="s">
        <v>18</v>
      </c>
    </row>
    <row r="3" spans="1:18" x14ac:dyDescent="0.35">
      <c r="A3" s="4">
        <v>1999</v>
      </c>
      <c r="B3" s="11" t="s">
        <v>9</v>
      </c>
      <c r="C3" s="11">
        <v>-0.54921562212071295</v>
      </c>
      <c r="D3" s="11">
        <v>0</v>
      </c>
      <c r="E3" s="11">
        <v>-0.17907550284434701</v>
      </c>
      <c r="F3" s="11">
        <v>0.17008246805598701</v>
      </c>
      <c r="G3" s="11">
        <v>7.1936295839186995E-2</v>
      </c>
      <c r="H3" s="11">
        <v>-0.42109426673952199</v>
      </c>
      <c r="I3" s="12">
        <v>0</v>
      </c>
      <c r="K3" s="21">
        <f>1+(G3/100)</f>
        <v>1.0007193629583919</v>
      </c>
      <c r="L3" s="20">
        <f>K3^(1/4)</f>
        <v>1.0001797922459084</v>
      </c>
      <c r="M3" s="22"/>
      <c r="N3" s="23"/>
      <c r="P3" s="7">
        <v>2000</v>
      </c>
      <c r="Q3" s="8" cm="1">
        <f t="array" ref="Q3">INDEX($N$3:$N$106, MATCH(P3 &amp; "Q4", $A$3:$A$106 &amp; $B$3:$B$106, 0))</f>
        <v>-0.25899172788582669</v>
      </c>
      <c r="R3" s="3"/>
    </row>
    <row r="4" spans="1:18" x14ac:dyDescent="0.35">
      <c r="A4" s="4">
        <v>2000</v>
      </c>
      <c r="B4" s="11" t="s">
        <v>10</v>
      </c>
      <c r="C4" s="11">
        <v>-0.86448232664422797</v>
      </c>
      <c r="D4" s="11">
        <v>0</v>
      </c>
      <c r="E4" s="11">
        <v>-1.9854812232630199</v>
      </c>
      <c r="F4" s="11">
        <v>-1.35173803864909</v>
      </c>
      <c r="G4" s="11">
        <v>-1.1757825105846499E-2</v>
      </c>
      <c r="H4" s="11">
        <v>-0.62198535950807998</v>
      </c>
      <c r="I4" s="12">
        <v>0</v>
      </c>
      <c r="K4" s="21">
        <f>1+(G4/100)</f>
        <v>0.99988242174894149</v>
      </c>
      <c r="L4" s="20">
        <f t="shared" ref="L4:L67" si="0">K4^(1/4)</f>
        <v>0.99997060414108596</v>
      </c>
      <c r="M4" s="22"/>
      <c r="N4" s="23"/>
      <c r="P4" s="7">
        <v>2001</v>
      </c>
      <c r="Q4" s="8" cm="1">
        <f t="array" ref="Q4">INDEX($N$3:$N$106, MATCH(P4 &amp; "Q4", $A$3:$A$106 &amp; $B$3:$B$106, 0))</f>
        <v>0.15944222635524419</v>
      </c>
    </row>
    <row r="5" spans="1:18" x14ac:dyDescent="0.35">
      <c r="A5" s="4">
        <v>2000</v>
      </c>
      <c r="B5" s="11" t="s">
        <v>11</v>
      </c>
      <c r="C5" s="11">
        <v>-0.703196989836955</v>
      </c>
      <c r="D5" s="11">
        <v>0</v>
      </c>
      <c r="E5" s="11">
        <v>-0.32330896711470503</v>
      </c>
      <c r="F5" s="11">
        <v>0.46923226683638503</v>
      </c>
      <c r="G5" s="11">
        <v>-0.52493124767058097</v>
      </c>
      <c r="H5" s="11">
        <v>-0.26760998628050903</v>
      </c>
      <c r="I5" s="12">
        <v>0</v>
      </c>
      <c r="K5" s="21">
        <f>1+(G5/100)</f>
        <v>0.99475068752329421</v>
      </c>
      <c r="L5" s="20">
        <f t="shared" si="0"/>
        <v>0.99868508063418082</v>
      </c>
      <c r="M5" s="22"/>
      <c r="N5" s="23"/>
      <c r="P5" s="7">
        <v>2002</v>
      </c>
      <c r="Q5" s="8" cm="1">
        <f t="array" ref="Q5">INDEX($N$3:$N$106, MATCH(P5 &amp; "Q4", $A$3:$A$106 &amp; $B$3:$B$106, 0))</f>
        <v>-0.21816300089858576</v>
      </c>
    </row>
    <row r="6" spans="1:18" x14ac:dyDescent="0.35">
      <c r="A6" s="4">
        <v>2000</v>
      </c>
      <c r="B6" s="11" t="s">
        <v>12</v>
      </c>
      <c r="C6" s="11">
        <v>-0.88649994771751495</v>
      </c>
      <c r="D6" s="11">
        <v>0</v>
      </c>
      <c r="E6" s="11">
        <v>-1.0581340976479801</v>
      </c>
      <c r="F6" s="11">
        <v>-0.73022095927751796</v>
      </c>
      <c r="G6" s="11">
        <v>-0.249944180191881</v>
      </c>
      <c r="H6" s="11">
        <v>-7.7968958178587594E-2</v>
      </c>
      <c r="I6" s="12">
        <v>0</v>
      </c>
      <c r="K6" s="21">
        <f>1+(G6/100)</f>
        <v>0.99750055819808114</v>
      </c>
      <c r="L6" s="20">
        <f t="shared" si="0"/>
        <v>0.9993745530182564</v>
      </c>
      <c r="M6" s="22">
        <f>L6*L5*L4*L3</f>
        <v>0.99821055547648307</v>
      </c>
      <c r="N6" s="23">
        <f>(M6-1)*100</f>
        <v>-0.17894445235169254</v>
      </c>
      <c r="P6" s="7">
        <v>2003</v>
      </c>
      <c r="Q6" s="8" cm="1">
        <f t="array" ref="Q6">INDEX($N$3:$N$106, MATCH(P6 &amp; "Q4", $A$3:$A$106 &amp; $B$3:$B$106, 0))</f>
        <v>-0.5077179379282426</v>
      </c>
    </row>
    <row r="7" spans="1:18" x14ac:dyDescent="0.35">
      <c r="A7" s="4">
        <v>2000</v>
      </c>
      <c r="B7" s="11" t="s">
        <v>9</v>
      </c>
      <c r="C7" s="11">
        <v>-0.87351051208849495</v>
      </c>
      <c r="D7" s="11">
        <v>0</v>
      </c>
      <c r="E7" s="11">
        <v>-0.12711776032826699</v>
      </c>
      <c r="F7" s="11">
        <v>7.4112709321466394E-2</v>
      </c>
      <c r="G7" s="11">
        <v>-0.24867163435901901</v>
      </c>
      <c r="H7" s="11">
        <v>4.7441164709285298E-2</v>
      </c>
      <c r="I7" s="12">
        <v>0</v>
      </c>
      <c r="K7" s="21">
        <f>1+(G7/100)</f>
        <v>0.99751328365640979</v>
      </c>
      <c r="L7" s="20">
        <f t="shared" si="0"/>
        <v>0.99937774034438975</v>
      </c>
      <c r="M7" s="22">
        <f t="shared" ref="M7:M70" si="1">L7*L6*L5*L4</f>
        <v>0.99741008272114173</v>
      </c>
      <c r="N7" s="23">
        <f t="shared" ref="N7:N70" si="2">(M7-1)*100</f>
        <v>-0.25899172788582669</v>
      </c>
      <c r="P7" s="7">
        <v>2004</v>
      </c>
      <c r="Q7" s="8" cm="1">
        <f t="array" ref="Q7">INDEX($N$3:$N$106, MATCH(P7 &amp; "Q4", $A$3:$A$106 &amp; $B$3:$B$106, 0))</f>
        <v>-0.16221940897374054</v>
      </c>
    </row>
    <row r="8" spans="1:18" x14ac:dyDescent="0.35">
      <c r="A8" s="4">
        <v>2001</v>
      </c>
      <c r="B8" s="11" t="s">
        <v>10</v>
      </c>
      <c r="C8" s="11">
        <v>-0.17154565761544499</v>
      </c>
      <c r="D8" s="11">
        <v>1</v>
      </c>
      <c r="E8" s="11">
        <v>0.82237819462917805</v>
      </c>
      <c r="F8" s="11">
        <v>0.46370292511172001</v>
      </c>
      <c r="G8" s="11">
        <v>8.7293957952292806E-2</v>
      </c>
      <c r="H8" s="11">
        <v>0.27138131156516498</v>
      </c>
      <c r="I8" s="12">
        <v>0</v>
      </c>
      <c r="K8" s="21">
        <f>1+(G8/100)</f>
        <v>1.0008729395795228</v>
      </c>
      <c r="L8" s="20">
        <f t="shared" si="0"/>
        <v>1.000218163491533</v>
      </c>
      <c r="M8" s="22">
        <f t="shared" si="1"/>
        <v>0.99765700817193526</v>
      </c>
      <c r="N8" s="23">
        <f t="shared" si="2"/>
        <v>-0.23429918280647444</v>
      </c>
      <c r="P8" s="7">
        <v>2005</v>
      </c>
      <c r="Q8" s="8" cm="1">
        <f t="array" ref="Q8">INDEX($N$3:$N$106, MATCH(P8 &amp; "Q4", $A$3:$A$106 &amp; $B$3:$B$106, 0))</f>
        <v>-0.15398313196725022</v>
      </c>
    </row>
    <row r="9" spans="1:18" x14ac:dyDescent="0.35">
      <c r="A9" s="4">
        <v>2001</v>
      </c>
      <c r="B9" s="11" t="s">
        <v>11</v>
      </c>
      <c r="C9" s="11">
        <v>0.18890637102534399</v>
      </c>
      <c r="D9" s="11">
        <v>1</v>
      </c>
      <c r="E9" s="11">
        <v>1.11849914744845</v>
      </c>
      <c r="F9" s="11">
        <v>0.41132128301111198</v>
      </c>
      <c r="G9" s="11">
        <v>0.29826387331106502</v>
      </c>
      <c r="H9" s="11">
        <v>0.40891399112627302</v>
      </c>
      <c r="I9" s="12">
        <v>0</v>
      </c>
      <c r="K9" s="21">
        <f>1+(G9/100)</f>
        <v>1.0029826387331107</v>
      </c>
      <c r="L9" s="20">
        <f t="shared" si="0"/>
        <v>1.0007448271188395</v>
      </c>
      <c r="M9" s="22">
        <f t="shared" si="1"/>
        <v>0.99971463429985585</v>
      </c>
      <c r="N9" s="23">
        <f t="shared" si="2"/>
        <v>-2.8536570014414675E-2</v>
      </c>
      <c r="P9" s="7">
        <v>2006</v>
      </c>
      <c r="Q9" s="8" cm="1">
        <f t="array" ref="Q9">INDEX($N$3:$N$106, MATCH(P9 &amp; "Q4", $A$3:$A$106 &amp; $B$3:$B$106, 0))</f>
        <v>4.603545358561334E-2</v>
      </c>
    </row>
    <row r="10" spans="1:18" x14ac:dyDescent="0.35">
      <c r="A10" s="4">
        <v>2001</v>
      </c>
      <c r="B10" s="11" t="s">
        <v>12</v>
      </c>
      <c r="C10" s="11">
        <v>0.67312368841603498</v>
      </c>
      <c r="D10" s="11">
        <v>1</v>
      </c>
      <c r="E10" s="11">
        <v>0.87873517191477801</v>
      </c>
      <c r="F10" s="11">
        <v>-0.29957416192395703</v>
      </c>
      <c r="G10" s="11">
        <v>-0.309747811183118</v>
      </c>
      <c r="H10" s="11">
        <v>1.48805714502185</v>
      </c>
      <c r="I10" s="12">
        <v>0</v>
      </c>
      <c r="K10" s="21">
        <f>1+(G10/100)</f>
        <v>0.99690252188816886</v>
      </c>
      <c r="L10" s="20">
        <f t="shared" si="0"/>
        <v>0.99922472937110207</v>
      </c>
      <c r="M10" s="22">
        <f t="shared" si="1"/>
        <v>0.99956475966859559</v>
      </c>
      <c r="N10" s="23">
        <f t="shared" si="2"/>
        <v>-4.3524033140440732E-2</v>
      </c>
      <c r="P10" s="7">
        <v>2007</v>
      </c>
      <c r="Q10" s="8" cm="1">
        <f t="array" ref="Q10">INDEX($N$3:$N$106, MATCH(P10 &amp; "Q4", $A$3:$A$106 &amp; $B$3:$B$106, 0))</f>
        <v>2.6228937741290537E-3</v>
      </c>
    </row>
    <row r="11" spans="1:18" x14ac:dyDescent="0.35">
      <c r="A11" s="4">
        <v>2001</v>
      </c>
      <c r="B11" s="11" t="s">
        <v>9</v>
      </c>
      <c r="C11" s="11">
        <v>1.19826709856071</v>
      </c>
      <c r="D11" s="11">
        <v>1</v>
      </c>
      <c r="E11" s="11">
        <v>1.9734558802504401</v>
      </c>
      <c r="F11" s="11">
        <v>0.14032865656028801</v>
      </c>
      <c r="G11" s="11">
        <v>0.56399821831899299</v>
      </c>
      <c r="H11" s="11">
        <v>1.2691290053711499</v>
      </c>
      <c r="I11" s="12">
        <v>0</v>
      </c>
      <c r="K11" s="21">
        <f>1+(G11/100)</f>
        <v>1.0056399821831898</v>
      </c>
      <c r="L11" s="20">
        <f t="shared" si="0"/>
        <v>1.0014070231879366</v>
      </c>
      <c r="M11" s="22">
        <f t="shared" si="1"/>
        <v>1.0015944222635524</v>
      </c>
      <c r="N11" s="23">
        <f t="shared" si="2"/>
        <v>0.15944222635524419</v>
      </c>
      <c r="P11" s="7">
        <v>2008</v>
      </c>
      <c r="Q11" s="8" cm="1">
        <f t="array" ref="Q11">INDEX($N$3:$N$106, MATCH(P11 &amp; "Q4", $A$3:$A$106 &amp; $B$3:$B$106, 0))</f>
        <v>-0.17534481019536585</v>
      </c>
    </row>
    <row r="12" spans="1:18" x14ac:dyDescent="0.35">
      <c r="A12" s="4">
        <v>2002</v>
      </c>
      <c r="B12" s="11" t="s">
        <v>10</v>
      </c>
      <c r="C12" s="11">
        <v>1.57343648693853</v>
      </c>
      <c r="D12" s="11">
        <v>0</v>
      </c>
      <c r="E12" s="11">
        <v>2.3230557481404701</v>
      </c>
      <c r="F12" s="11">
        <v>1.0610346519796201</v>
      </c>
      <c r="G12" s="11">
        <v>-0.26906065440778498</v>
      </c>
      <c r="H12" s="11">
        <v>1.5310817505686201</v>
      </c>
      <c r="I12" s="12">
        <v>0</v>
      </c>
      <c r="K12" s="21">
        <f>1+(G12/100)</f>
        <v>0.99730939345592218</v>
      </c>
      <c r="L12" s="20">
        <f t="shared" si="0"/>
        <v>0.99932666860645258</v>
      </c>
      <c r="M12" s="22">
        <f t="shared" si="1"/>
        <v>1.0007017007184287</v>
      </c>
      <c r="N12" s="23">
        <f t="shared" si="2"/>
        <v>7.0170071842867721E-2</v>
      </c>
      <c r="P12" s="7">
        <v>2009</v>
      </c>
      <c r="Q12" s="8" cm="1">
        <f t="array" ref="Q12">INDEX($N$3:$N$106, MATCH(P12 &amp; "Q4", $A$3:$A$106 &amp; $B$3:$B$106, 0))</f>
        <v>-0.37528479164914419</v>
      </c>
    </row>
    <row r="13" spans="1:18" x14ac:dyDescent="0.35">
      <c r="A13" s="4">
        <v>2002</v>
      </c>
      <c r="B13" s="11" t="s">
        <v>11</v>
      </c>
      <c r="C13" s="11">
        <v>1.77348982502132</v>
      </c>
      <c r="D13" s="11">
        <v>0</v>
      </c>
      <c r="E13" s="11">
        <v>1.9187124997795999</v>
      </c>
      <c r="F13" s="11">
        <v>0.31716901623626997</v>
      </c>
      <c r="G13" s="11">
        <v>-0.264545303334975</v>
      </c>
      <c r="H13" s="11">
        <v>1.86608878687831</v>
      </c>
      <c r="I13" s="12">
        <v>0</v>
      </c>
      <c r="K13" s="21">
        <f>1+(G13/100)</f>
        <v>0.99735454696665027</v>
      </c>
      <c r="L13" s="20">
        <f t="shared" si="0"/>
        <v>0.99933797962529403</v>
      </c>
      <c r="M13" s="22">
        <f t="shared" si="1"/>
        <v>0.99929491385199465</v>
      </c>
      <c r="N13" s="23">
        <f t="shared" si="2"/>
        <v>-7.0508614800535163E-2</v>
      </c>
      <c r="P13" s="7">
        <v>2010</v>
      </c>
      <c r="Q13" s="8" cm="1">
        <f t="array" ref="Q13">INDEX($N$3:$N$106, MATCH(P13 &amp; "Q4", $A$3:$A$106 &amp; $B$3:$B$106, 0))</f>
        <v>-0.63599758859859135</v>
      </c>
    </row>
    <row r="14" spans="1:18" x14ac:dyDescent="0.35">
      <c r="A14" s="4">
        <v>2002</v>
      </c>
      <c r="B14" s="11" t="s">
        <v>12</v>
      </c>
      <c r="C14" s="11">
        <v>1.9040083397932901</v>
      </c>
      <c r="D14" s="11">
        <v>0</v>
      </c>
      <c r="E14" s="11">
        <v>1.4008092310026401</v>
      </c>
      <c r="F14" s="11">
        <v>-9.0108113300134796E-2</v>
      </c>
      <c r="G14" s="11">
        <v>-4.8755488937387501E-2</v>
      </c>
      <c r="H14" s="11">
        <v>1.5396728332401599</v>
      </c>
      <c r="I14" s="12">
        <v>0</v>
      </c>
      <c r="K14" s="21">
        <f>1+(G14/100)</f>
        <v>0.99951244511062609</v>
      </c>
      <c r="L14" s="20">
        <f t="shared" si="0"/>
        <v>0.99987808898602537</v>
      </c>
      <c r="M14" s="22">
        <f t="shared" si="1"/>
        <v>0.99994831935820172</v>
      </c>
      <c r="N14" s="23">
        <f t="shared" si="2"/>
        <v>-5.1680641798279581E-3</v>
      </c>
      <c r="P14" s="7">
        <v>2011</v>
      </c>
      <c r="Q14" s="8" cm="1">
        <f t="array" ref="Q14">INDEX($N$3:$N$106, MATCH(P14 &amp; "Q4", $A$3:$A$106 &amp; $B$3:$B$106, 0))</f>
        <v>-0.38770989607411765</v>
      </c>
    </row>
    <row r="15" spans="1:18" x14ac:dyDescent="0.35">
      <c r="A15" s="4">
        <v>2002</v>
      </c>
      <c r="B15" s="11" t="s">
        <v>9</v>
      </c>
      <c r="C15" s="11">
        <v>1.69327820663261</v>
      </c>
      <c r="D15" s="11">
        <v>0</v>
      </c>
      <c r="E15" s="11">
        <v>1.13053534760773</v>
      </c>
      <c r="F15" s="11">
        <v>0.33663863753804701</v>
      </c>
      <c r="G15" s="11">
        <v>-0.29009720049134402</v>
      </c>
      <c r="H15" s="11">
        <v>1.0839939105610299</v>
      </c>
      <c r="I15" s="12">
        <v>0</v>
      </c>
      <c r="K15" s="21">
        <f>1+(G15/100)</f>
        <v>0.99709902799508654</v>
      </c>
      <c r="L15" s="20">
        <f t="shared" si="0"/>
        <v>0.99927396669487178</v>
      </c>
      <c r="M15" s="22">
        <f t="shared" si="1"/>
        <v>0.99781836999101414</v>
      </c>
      <c r="N15" s="23">
        <f t="shared" si="2"/>
        <v>-0.21816300089858576</v>
      </c>
      <c r="P15" s="7">
        <v>2012</v>
      </c>
      <c r="Q15" s="8" cm="1">
        <f t="array" ref="Q15">INDEX($N$3:$N$106, MATCH(P15 &amp; "Q4", $A$3:$A$106 &amp; $B$3:$B$106, 0))</f>
        <v>-0.24315057511968829</v>
      </c>
    </row>
    <row r="16" spans="1:18" x14ac:dyDescent="0.35">
      <c r="A16" s="4">
        <v>2003</v>
      </c>
      <c r="B16" s="11" t="s">
        <v>10</v>
      </c>
      <c r="C16" s="11">
        <v>1.2837423977270399</v>
      </c>
      <c r="D16" s="11">
        <v>0</v>
      </c>
      <c r="E16" s="11">
        <v>0.68491251251818297</v>
      </c>
      <c r="F16" s="11">
        <v>6.2662919990098501E-2</v>
      </c>
      <c r="G16" s="11">
        <v>-0.49612979428925302</v>
      </c>
      <c r="H16" s="11">
        <v>1.11837938681733</v>
      </c>
      <c r="I16" s="12">
        <v>0</v>
      </c>
      <c r="K16" s="21">
        <f>1+(G16/100)</f>
        <v>0.99503870205710743</v>
      </c>
      <c r="L16" s="20">
        <f t="shared" si="0"/>
        <v>0.99875736120574343</v>
      </c>
      <c r="M16" s="22">
        <f t="shared" si="1"/>
        <v>0.99724992185443873</v>
      </c>
      <c r="N16" s="23">
        <f t="shared" si="2"/>
        <v>-0.27500781455612744</v>
      </c>
      <c r="P16" s="7">
        <v>2013</v>
      </c>
      <c r="Q16" s="8" cm="1">
        <f t="array" ref="Q16">INDEX($N$3:$N$106, MATCH(P16 &amp; "Q4", $A$3:$A$106 &amp; $B$3:$B$106, 0))</f>
        <v>-3.7211577484397296E-2</v>
      </c>
    </row>
    <row r="17" spans="1:17" x14ac:dyDescent="0.35">
      <c r="A17" s="4">
        <v>2003</v>
      </c>
      <c r="B17" s="11" t="s">
        <v>11</v>
      </c>
      <c r="C17" s="11">
        <v>1.1508344690772301</v>
      </c>
      <c r="D17" s="11">
        <v>0</v>
      </c>
      <c r="E17" s="11">
        <v>1.3870807851803599</v>
      </c>
      <c r="F17" s="11">
        <v>1.68713240145773</v>
      </c>
      <c r="G17" s="11">
        <v>-1.4419460119602601</v>
      </c>
      <c r="H17" s="11">
        <v>1.14189439568288</v>
      </c>
      <c r="I17" s="12">
        <v>0</v>
      </c>
      <c r="K17" s="21">
        <f>1+(G17/100)</f>
        <v>0.9855805398803974</v>
      </c>
      <c r="L17" s="20">
        <f t="shared" si="0"/>
        <v>0.99637547679017735</v>
      </c>
      <c r="M17" s="22">
        <f t="shared" si="1"/>
        <v>0.99429360899427766</v>
      </c>
      <c r="N17" s="23">
        <f t="shared" si="2"/>
        <v>-0.57063910057223444</v>
      </c>
      <c r="P17" s="7">
        <v>2014</v>
      </c>
      <c r="Q17" s="8" cm="1">
        <f t="array" ref="Q17">INDEX($N$3:$N$106, MATCH(P17 &amp; "Q4", $A$3:$A$106 &amp; $B$3:$B$106, 0))</f>
        <v>8.365230882478869E-3</v>
      </c>
    </row>
    <row r="18" spans="1:17" x14ac:dyDescent="0.35">
      <c r="A18" s="4">
        <v>2003</v>
      </c>
      <c r="B18" s="11" t="s">
        <v>12</v>
      </c>
      <c r="C18" s="11">
        <v>0.96228401860268997</v>
      </c>
      <c r="D18" s="11">
        <v>0</v>
      </c>
      <c r="E18" s="11">
        <v>0.646607429104474</v>
      </c>
      <c r="F18" s="11">
        <v>-0.69775144357608099</v>
      </c>
      <c r="G18" s="11">
        <v>0.429678454560872</v>
      </c>
      <c r="H18" s="11">
        <v>0.91468041811968304</v>
      </c>
      <c r="I18" s="12">
        <v>0</v>
      </c>
      <c r="K18" s="21">
        <f>1+(G18/100)</f>
        <v>1.0042967845456088</v>
      </c>
      <c r="L18" s="20">
        <f t="shared" si="0"/>
        <v>1.001072469615911</v>
      </c>
      <c r="M18" s="22">
        <f t="shared" si="1"/>
        <v>0.99548131881618818</v>
      </c>
      <c r="N18" s="23">
        <f t="shared" si="2"/>
        <v>-0.45186811838118235</v>
      </c>
      <c r="P18" s="7">
        <v>2015</v>
      </c>
      <c r="Q18" s="8" cm="1">
        <f t="array" ref="Q18">INDEX($N$3:$N$106, MATCH(P18 &amp; "Q4", $A$3:$A$106 &amp; $B$3:$B$106, 0))</f>
        <v>9.7360333862006598E-2</v>
      </c>
    </row>
    <row r="19" spans="1:17" x14ac:dyDescent="0.35">
      <c r="A19" s="4">
        <v>2003</v>
      </c>
      <c r="B19" s="11" t="s">
        <v>9</v>
      </c>
      <c r="C19" s="11">
        <v>0.85707822308252402</v>
      </c>
      <c r="D19" s="11">
        <v>0</v>
      </c>
      <c r="E19" s="11">
        <v>0.70971216552707495</v>
      </c>
      <c r="F19" s="11">
        <v>0.53888468896199504</v>
      </c>
      <c r="G19" s="11">
        <v>-0.51367127743272101</v>
      </c>
      <c r="H19" s="11">
        <v>0.68449875399780102</v>
      </c>
      <c r="I19" s="12">
        <v>0</v>
      </c>
      <c r="K19" s="21">
        <f>1+(G19/100)</f>
        <v>0.99486328722567274</v>
      </c>
      <c r="L19" s="20">
        <f t="shared" si="0"/>
        <v>0.99871334069754658</v>
      </c>
      <c r="M19" s="22">
        <f t="shared" si="1"/>
        <v>0.99492282062071757</v>
      </c>
      <c r="N19" s="23">
        <f t="shared" si="2"/>
        <v>-0.5077179379282426</v>
      </c>
      <c r="P19" s="7">
        <v>2016</v>
      </c>
      <c r="Q19" s="8" cm="1">
        <f t="array" ref="Q19">INDEX($N$3:$N$106, MATCH(P19 &amp; "Q4", $A$3:$A$106 &amp; $B$3:$B$106, 0))</f>
        <v>6.7241778209314873E-2</v>
      </c>
    </row>
    <row r="20" spans="1:17" x14ac:dyDescent="0.35">
      <c r="A20" s="4">
        <v>2004</v>
      </c>
      <c r="B20" s="11" t="s">
        <v>10</v>
      </c>
      <c r="C20" s="11">
        <v>0.72469910139146099</v>
      </c>
      <c r="D20" s="11">
        <v>0</v>
      </c>
      <c r="E20" s="11">
        <v>0.155396025753929</v>
      </c>
      <c r="F20" s="11">
        <v>-0.37214829759211199</v>
      </c>
      <c r="G20" s="11">
        <v>0.27496779972709401</v>
      </c>
      <c r="H20" s="11">
        <v>0.252576523618947</v>
      </c>
      <c r="I20" s="12">
        <v>0</v>
      </c>
      <c r="K20" s="21">
        <f>1+(G20/100)</f>
        <v>1.0027496779972709</v>
      </c>
      <c r="L20" s="20">
        <f t="shared" si="0"/>
        <v>1.0006867118157505</v>
      </c>
      <c r="M20" s="22">
        <f t="shared" si="1"/>
        <v>0.99684476385281273</v>
      </c>
      <c r="N20" s="23">
        <f t="shared" si="2"/>
        <v>-0.31552361471872681</v>
      </c>
      <c r="P20" s="7">
        <v>2017</v>
      </c>
      <c r="Q20" s="8" cm="1">
        <f t="array" ref="Q20">INDEX($N$3:$N$106, MATCH(P20 &amp; "Q4", $A$3:$A$106 &amp; $B$3:$B$106, 0))</f>
        <v>-7.3333087477200909E-2</v>
      </c>
    </row>
    <row r="21" spans="1:17" x14ac:dyDescent="0.35">
      <c r="A21" s="4">
        <v>2004</v>
      </c>
      <c r="B21" s="11" t="s">
        <v>11</v>
      </c>
      <c r="C21" s="11">
        <v>0.3638645160301</v>
      </c>
      <c r="D21" s="11">
        <v>0</v>
      </c>
      <c r="E21" s="11">
        <v>-5.6257556265081499E-2</v>
      </c>
      <c r="F21" s="11">
        <v>-0.26046525759859501</v>
      </c>
      <c r="G21" s="11">
        <v>-3.5543721617490301E-3</v>
      </c>
      <c r="H21" s="11">
        <v>0.20776207349526199</v>
      </c>
      <c r="I21" s="12">
        <v>0</v>
      </c>
      <c r="K21" s="21">
        <f>1+(G21/100)</f>
        <v>0.99996445627838249</v>
      </c>
      <c r="L21" s="20">
        <f t="shared" si="0"/>
        <v>0.99999111395115348</v>
      </c>
      <c r="M21" s="22">
        <f t="shared" si="1"/>
        <v>1.000462103957892</v>
      </c>
      <c r="N21" s="23">
        <f t="shared" si="2"/>
        <v>4.6210395789203496E-2</v>
      </c>
      <c r="P21" s="7">
        <v>2018</v>
      </c>
      <c r="Q21" s="8" cm="1">
        <f t="array" ref="Q21">INDEX($N$3:$N$106, MATCH(P21 &amp; "Q4", $A$3:$A$106 &amp; $B$3:$B$106, 0))</f>
        <v>-8.058780761901474E-2</v>
      </c>
    </row>
    <row r="22" spans="1:17" x14ac:dyDescent="0.35">
      <c r="A22" s="4">
        <v>2004</v>
      </c>
      <c r="B22" s="11" t="s">
        <v>12</v>
      </c>
      <c r="C22" s="11">
        <v>9.9286642069349604E-2</v>
      </c>
      <c r="D22" s="11">
        <v>0</v>
      </c>
      <c r="E22" s="11">
        <v>-0.411704066738526</v>
      </c>
      <c r="F22" s="11">
        <v>0.35586793918833798</v>
      </c>
      <c r="G22" s="11">
        <v>-0.70433593407964101</v>
      </c>
      <c r="H22" s="11">
        <v>-6.3236071847224198E-2</v>
      </c>
      <c r="I22" s="12">
        <v>0</v>
      </c>
      <c r="K22" s="21">
        <f>1+(G22/100)</f>
        <v>0.99295664065920364</v>
      </c>
      <c r="L22" s="20">
        <f t="shared" si="0"/>
        <v>0.9982344901278476</v>
      </c>
      <c r="M22" s="22">
        <f t="shared" si="1"/>
        <v>0.99762585481929911</v>
      </c>
      <c r="N22" s="23">
        <f t="shared" si="2"/>
        <v>-0.23741451807008929</v>
      </c>
      <c r="P22" s="7">
        <v>2019</v>
      </c>
      <c r="Q22" s="8" cm="1">
        <f t="array" ref="Q22">INDEX($N$3:$N$106, MATCH(P22 &amp; "Q4", $A$3:$A$106 &amp; $B$3:$B$106, 0))</f>
        <v>0.32273253186809736</v>
      </c>
    </row>
    <row r="23" spans="1:17" x14ac:dyDescent="0.35">
      <c r="A23" s="4">
        <v>2004</v>
      </c>
      <c r="B23" s="11" t="s">
        <v>9</v>
      </c>
      <c r="C23" s="11">
        <v>-0.23445929467212201</v>
      </c>
      <c r="D23" s="11">
        <v>0</v>
      </c>
      <c r="E23" s="11">
        <v>-0.62527158143881101</v>
      </c>
      <c r="F23" s="11">
        <v>-0.33840606772645498</v>
      </c>
      <c r="G23" s="11">
        <v>-0.21338445038714099</v>
      </c>
      <c r="H23" s="11">
        <v>-7.3481063325213994E-2</v>
      </c>
      <c r="I23" s="12">
        <v>0</v>
      </c>
      <c r="K23" s="21">
        <f>1+(G23/100)</f>
        <v>0.99786615549612856</v>
      </c>
      <c r="L23" s="20">
        <f t="shared" si="0"/>
        <v>0.99946611147074726</v>
      </c>
      <c r="M23" s="22">
        <f t="shared" si="1"/>
        <v>0.99837780591026259</v>
      </c>
      <c r="N23" s="23">
        <f t="shared" si="2"/>
        <v>-0.16221940897374054</v>
      </c>
      <c r="P23" s="7">
        <v>2020</v>
      </c>
      <c r="Q23" s="8" cm="1">
        <f t="array" ref="Q23">INDEX($N$3:$N$106, MATCH(P23 &amp; "Q4", $A$3:$A$106 &amp; $B$3:$B$106, 0))</f>
        <v>-0.61595026766383398</v>
      </c>
    </row>
    <row r="24" spans="1:17" x14ac:dyDescent="0.35">
      <c r="A24" s="4">
        <v>2005</v>
      </c>
      <c r="B24" s="11" t="s">
        <v>10</v>
      </c>
      <c r="C24" s="11">
        <v>-0.42555899047162898</v>
      </c>
      <c r="D24" s="11">
        <v>0</v>
      </c>
      <c r="E24" s="11">
        <v>-0.60900275744409804</v>
      </c>
      <c r="F24" s="11">
        <v>3.8955439699551897E-2</v>
      </c>
      <c r="G24" s="11">
        <v>-0.14278927142800599</v>
      </c>
      <c r="H24" s="11">
        <v>-0.50516892571564398</v>
      </c>
      <c r="I24" s="12">
        <v>0</v>
      </c>
      <c r="K24" s="21">
        <f>1+(G24/100)</f>
        <v>0.99857210728571999</v>
      </c>
      <c r="L24" s="20">
        <f t="shared" si="0"/>
        <v>0.99964283551728661</v>
      </c>
      <c r="M24" s="22">
        <f t="shared" si="1"/>
        <v>0.99733633816996337</v>
      </c>
      <c r="N24" s="23">
        <f t="shared" si="2"/>
        <v>-0.26636618300366344</v>
      </c>
      <c r="P24" s="7">
        <v>2021</v>
      </c>
      <c r="Q24" s="8" cm="1">
        <f t="array" ref="Q24">INDEX($N$3:$N$106, MATCH(P24 &amp; "Q4", $A$3:$A$106 &amp; $B$3:$B$106, 0))</f>
        <v>-0.57330006090964281</v>
      </c>
    </row>
    <row r="25" spans="1:17" x14ac:dyDescent="0.35">
      <c r="A25" s="4">
        <v>2005</v>
      </c>
      <c r="B25" s="11" t="s">
        <v>11</v>
      </c>
      <c r="C25" s="11">
        <v>-0.668372041624955</v>
      </c>
      <c r="D25" s="11">
        <v>0</v>
      </c>
      <c r="E25" s="11">
        <v>-1.0275097608783801</v>
      </c>
      <c r="F25" s="11">
        <v>-0.25151264371138699</v>
      </c>
      <c r="G25" s="11">
        <v>-0.25149345025183201</v>
      </c>
      <c r="H25" s="11">
        <v>-0.52450366691516903</v>
      </c>
      <c r="I25" s="12">
        <v>0</v>
      </c>
      <c r="K25" s="21">
        <f>1+(G25/100)</f>
        <v>0.99748506549748173</v>
      </c>
      <c r="L25" s="20">
        <f t="shared" si="0"/>
        <v>0.99937067254400802</v>
      </c>
      <c r="M25" s="22">
        <f t="shared" si="1"/>
        <v>0.996717543910276</v>
      </c>
      <c r="N25" s="23">
        <f t="shared" si="2"/>
        <v>-0.32824560897239952</v>
      </c>
      <c r="P25" s="7">
        <v>2022</v>
      </c>
      <c r="Q25" s="8" cm="1">
        <f t="array" ref="Q25">INDEX($N$3:$N$106, MATCH(P25 &amp; "Q4", $A$3:$A$106 &amp; $B$3:$B$106, 0))</f>
        <v>-0.11382392103008732</v>
      </c>
    </row>
    <row r="26" spans="1:17" x14ac:dyDescent="0.35">
      <c r="A26" s="4">
        <v>2005</v>
      </c>
      <c r="B26" s="11" t="s">
        <v>12</v>
      </c>
      <c r="C26" s="11">
        <v>-0.75117374351821198</v>
      </c>
      <c r="D26" s="11">
        <v>0</v>
      </c>
      <c r="E26" s="11">
        <v>-0.74291087431155101</v>
      </c>
      <c r="F26" s="11">
        <v>-8.8816553747242802E-2</v>
      </c>
      <c r="G26" s="11">
        <v>-0.108323480774198</v>
      </c>
      <c r="H26" s="11">
        <v>-0.54577083979010999</v>
      </c>
      <c r="I26" s="12">
        <v>0</v>
      </c>
      <c r="K26" s="21">
        <f>1+(G26/100)</f>
        <v>0.99891676519225803</v>
      </c>
      <c r="L26" s="20">
        <f t="shared" si="0"/>
        <v>0.99972908122247173</v>
      </c>
      <c r="M26" s="22">
        <f t="shared" si="1"/>
        <v>0.99820986378072352</v>
      </c>
      <c r="N26" s="23">
        <f t="shared" si="2"/>
        <v>-0.17901362192764836</v>
      </c>
      <c r="P26" s="7">
        <v>2023</v>
      </c>
      <c r="Q26" s="8" cm="1">
        <f t="array" ref="Q26">INDEX($N$3:$N$106, MATCH(P26 &amp; "Q4", $A$3:$A$106 &amp; $B$3:$B$106, 0))</f>
        <v>0.39491362562635857</v>
      </c>
    </row>
    <row r="27" spans="1:17" x14ac:dyDescent="0.35">
      <c r="A27" s="4">
        <v>2005</v>
      </c>
      <c r="B27" s="11" t="s">
        <v>9</v>
      </c>
      <c r="C27" s="11">
        <v>-0.80722470103842103</v>
      </c>
      <c r="D27" s="11">
        <v>0</v>
      </c>
      <c r="E27" s="11">
        <v>-0.849475411519651</v>
      </c>
      <c r="F27" s="11">
        <v>-0.25914290221126601</v>
      </c>
      <c r="G27" s="11">
        <v>-0.11325931273961</v>
      </c>
      <c r="H27" s="11">
        <v>-0.47707319656877301</v>
      </c>
      <c r="I27" s="12">
        <v>0</v>
      </c>
      <c r="K27" s="21">
        <f>1+(G27/100)</f>
        <v>0.99886740687260389</v>
      </c>
      <c r="L27" s="20">
        <f t="shared" si="0"/>
        <v>0.99971673137921191</v>
      </c>
      <c r="M27" s="22">
        <f t="shared" si="1"/>
        <v>0.9984601686803275</v>
      </c>
      <c r="N27" s="23">
        <f t="shared" si="2"/>
        <v>-0.15398313196725022</v>
      </c>
      <c r="Q27" s="2"/>
    </row>
    <row r="28" spans="1:17" x14ac:dyDescent="0.35">
      <c r="A28" s="4">
        <v>2006</v>
      </c>
      <c r="B28" s="11" t="s">
        <v>10</v>
      </c>
      <c r="C28" s="11">
        <v>-0.67608608804595505</v>
      </c>
      <c r="D28" s="11">
        <v>0</v>
      </c>
      <c r="E28" s="11">
        <v>-8.4448305474234098E-2</v>
      </c>
      <c r="F28" s="11">
        <v>0.69852025722059596</v>
      </c>
      <c r="G28" s="11">
        <v>-0.16397095935073999</v>
      </c>
      <c r="H28" s="11">
        <v>-0.61899760334409004</v>
      </c>
      <c r="I28" s="12">
        <v>0</v>
      </c>
      <c r="K28" s="21">
        <f>1+(G28/100)</f>
        <v>0.99836029040649255</v>
      </c>
      <c r="L28" s="20">
        <f t="shared" si="0"/>
        <v>0.99958982029954768</v>
      </c>
      <c r="M28" s="22">
        <f t="shared" si="1"/>
        <v>0.99840721618433037</v>
      </c>
      <c r="N28" s="23">
        <f t="shared" si="2"/>
        <v>-0.15927838156696295</v>
      </c>
      <c r="Q28" s="2"/>
    </row>
    <row r="29" spans="1:17" x14ac:dyDescent="0.35">
      <c r="A29" s="4">
        <v>2006</v>
      </c>
      <c r="B29" s="11" t="s">
        <v>11</v>
      </c>
      <c r="C29" s="11">
        <v>-0.70309941563898704</v>
      </c>
      <c r="D29" s="11">
        <v>0</v>
      </c>
      <c r="E29" s="11">
        <v>-1.13556307125051</v>
      </c>
      <c r="F29" s="11">
        <v>-0.491743139951824</v>
      </c>
      <c r="G29" s="11">
        <v>2.6535700109583199E-2</v>
      </c>
      <c r="H29" s="11">
        <v>-0.67035563140827503</v>
      </c>
      <c r="I29" s="12">
        <v>0</v>
      </c>
      <c r="K29" s="21">
        <f>1+(G29/100)</f>
        <v>1.0002653570010958</v>
      </c>
      <c r="L29" s="20">
        <f t="shared" si="0"/>
        <v>1.0000663326499515</v>
      </c>
      <c r="M29" s="22">
        <f t="shared" si="1"/>
        <v>0.9991022056300557</v>
      </c>
      <c r="N29" s="23">
        <f t="shared" si="2"/>
        <v>-8.9779436994430473E-2</v>
      </c>
    </row>
    <row r="30" spans="1:17" x14ac:dyDescent="0.35">
      <c r="A30" s="4">
        <v>2006</v>
      </c>
      <c r="B30" s="11" t="s">
        <v>12</v>
      </c>
      <c r="C30" s="11">
        <v>-0.72554406308322394</v>
      </c>
      <c r="D30" s="11">
        <v>0</v>
      </c>
      <c r="E30" s="11">
        <v>-0.83268946408849898</v>
      </c>
      <c r="F30" s="11">
        <v>-0.67334922055634405</v>
      </c>
      <c r="G30" s="11">
        <v>0.125572380615802</v>
      </c>
      <c r="H30" s="11">
        <v>-0.28491262414795698</v>
      </c>
      <c r="I30" s="12">
        <v>0</v>
      </c>
      <c r="K30" s="21">
        <f>1+(G30/100)</f>
        <v>1.0012557238061581</v>
      </c>
      <c r="L30" s="20">
        <f t="shared" si="0"/>
        <v>1.0003137832307682</v>
      </c>
      <c r="M30" s="22">
        <f t="shared" si="1"/>
        <v>0.9996865410036061</v>
      </c>
      <c r="N30" s="23">
        <f t="shared" si="2"/>
        <v>-3.1345899639390051E-2</v>
      </c>
    </row>
    <row r="31" spans="1:17" x14ac:dyDescent="0.35">
      <c r="A31" s="4">
        <v>2006</v>
      </c>
      <c r="B31" s="11" t="s">
        <v>9</v>
      </c>
      <c r="C31" s="11">
        <v>-0.53096200424063</v>
      </c>
      <c r="D31" s="11">
        <v>0</v>
      </c>
      <c r="E31" s="11">
        <v>-7.1147176149275307E-2</v>
      </c>
      <c r="F31" s="11">
        <v>3.1179069327877999E-2</v>
      </c>
      <c r="G31" s="11">
        <v>0.19637175377535199</v>
      </c>
      <c r="H31" s="11">
        <v>-0.29869799925250601</v>
      </c>
      <c r="I31" s="12">
        <v>0</v>
      </c>
      <c r="K31" s="21">
        <f>1+(G31/100)</f>
        <v>1.0019637175377536</v>
      </c>
      <c r="L31" s="20">
        <f t="shared" si="0"/>
        <v>1.0004905682805083</v>
      </c>
      <c r="M31" s="22">
        <f t="shared" si="1"/>
        <v>1.0004603545358561</v>
      </c>
      <c r="N31" s="23">
        <f t="shared" si="2"/>
        <v>4.603545358561334E-2</v>
      </c>
    </row>
    <row r="32" spans="1:17" x14ac:dyDescent="0.35">
      <c r="A32" s="4">
        <v>2007</v>
      </c>
      <c r="B32" s="11" t="s">
        <v>10</v>
      </c>
      <c r="C32" s="11">
        <v>-0.66978834113586505</v>
      </c>
      <c r="D32" s="11">
        <v>0</v>
      </c>
      <c r="E32" s="11">
        <v>-0.63975365305517096</v>
      </c>
      <c r="F32" s="11">
        <v>-0.46373464643131801</v>
      </c>
      <c r="G32" s="11">
        <v>0.17083179191415601</v>
      </c>
      <c r="H32" s="11">
        <v>-0.34685079853800899</v>
      </c>
      <c r="I32" s="12">
        <v>0</v>
      </c>
      <c r="K32" s="21">
        <f>1+(G32/100)</f>
        <v>1.0017083179191415</v>
      </c>
      <c r="L32" s="20">
        <f t="shared" si="0"/>
        <v>1.0004268061567854</v>
      </c>
      <c r="M32" s="22">
        <f t="shared" si="1"/>
        <v>1.0012980693169276</v>
      </c>
      <c r="N32" s="23">
        <f t="shared" si="2"/>
        <v>0.12980693169275526</v>
      </c>
    </row>
    <row r="33" spans="1:14" x14ac:dyDescent="0.35">
      <c r="A33" s="4">
        <v>2007</v>
      </c>
      <c r="B33" s="11" t="s">
        <v>11</v>
      </c>
      <c r="C33" s="11">
        <v>-0.37333156934982598</v>
      </c>
      <c r="D33" s="11">
        <v>0</v>
      </c>
      <c r="E33" s="11">
        <v>5.0264015893636299E-2</v>
      </c>
      <c r="F33" s="11">
        <v>0.68678126593788302</v>
      </c>
      <c r="G33" s="11">
        <v>-0.35638877405312402</v>
      </c>
      <c r="H33" s="11">
        <v>-0.28012847599112201</v>
      </c>
      <c r="I33" s="12">
        <v>0</v>
      </c>
      <c r="K33" s="21">
        <f>1+(G33/100)</f>
        <v>0.99643611225946871</v>
      </c>
      <c r="L33" s="20">
        <f t="shared" si="0"/>
        <v>0.99910783483681775</v>
      </c>
      <c r="M33" s="22">
        <f t="shared" si="1"/>
        <v>1.0003383909652006</v>
      </c>
      <c r="N33" s="23">
        <f t="shared" si="2"/>
        <v>3.3839096520060785E-2</v>
      </c>
    </row>
    <row r="34" spans="1:14" x14ac:dyDescent="0.35">
      <c r="A34" s="4">
        <v>2007</v>
      </c>
      <c r="B34" s="11" t="s">
        <v>12</v>
      </c>
      <c r="C34" s="11">
        <v>-0.17988496804940299</v>
      </c>
      <c r="D34" s="11">
        <v>0</v>
      </c>
      <c r="E34" s="11">
        <v>-5.8903058886806602E-2</v>
      </c>
      <c r="F34" s="11">
        <v>-8.3693793516222303E-2</v>
      </c>
      <c r="G34" s="11">
        <v>7.0034057302214694E-2</v>
      </c>
      <c r="H34" s="11">
        <v>-4.5243322672799097E-2</v>
      </c>
      <c r="I34" s="12">
        <v>0</v>
      </c>
      <c r="K34" s="21">
        <f>1+(G34/100)</f>
        <v>1.0007003405730222</v>
      </c>
      <c r="L34" s="20">
        <f t="shared" si="0"/>
        <v>1.0001750391798205</v>
      </c>
      <c r="M34" s="22">
        <f t="shared" si="1"/>
        <v>1.0001996435011471</v>
      </c>
      <c r="N34" s="23">
        <f t="shared" si="2"/>
        <v>1.9964350114709539E-2</v>
      </c>
    </row>
    <row r="35" spans="1:14" x14ac:dyDescent="0.35">
      <c r="A35" s="4">
        <v>2007</v>
      </c>
      <c r="B35" s="11" t="s">
        <v>9</v>
      </c>
      <c r="C35" s="11">
        <v>-8.0426572418383496E-2</v>
      </c>
      <c r="D35" s="11">
        <v>1</v>
      </c>
      <c r="E35" s="11">
        <v>0.32668640637480401</v>
      </c>
      <c r="F35" s="11">
        <v>0.14430248260963699</v>
      </c>
      <c r="G35" s="11">
        <v>0.12690165607988599</v>
      </c>
      <c r="H35" s="11">
        <v>5.5482267685281403E-2</v>
      </c>
      <c r="I35" s="12">
        <v>0</v>
      </c>
      <c r="K35" s="21">
        <f>1+(G35/100)</f>
        <v>1.0012690165607989</v>
      </c>
      <c r="L35" s="20">
        <f t="shared" si="0"/>
        <v>1.000317103276579</v>
      </c>
      <c r="M35" s="22">
        <f t="shared" si="1"/>
        <v>1.0000262289377413</v>
      </c>
      <c r="N35" s="23">
        <f t="shared" si="2"/>
        <v>2.6228937741290537E-3</v>
      </c>
    </row>
    <row r="36" spans="1:14" x14ac:dyDescent="0.35">
      <c r="A36" s="4">
        <v>2008</v>
      </c>
      <c r="B36" s="11" t="s">
        <v>10</v>
      </c>
      <c r="C36" s="11">
        <v>6.9535008957798905E-2</v>
      </c>
      <c r="D36" s="11">
        <v>1</v>
      </c>
      <c r="E36" s="11">
        <v>-3.9907327550441601E-2</v>
      </c>
      <c r="F36" s="11">
        <v>0.323189883806485</v>
      </c>
      <c r="G36" s="11">
        <v>-0.49664769464122499</v>
      </c>
      <c r="H36" s="11">
        <v>0.133550483284298</v>
      </c>
      <c r="I36" s="12">
        <v>0</v>
      </c>
      <c r="K36" s="21">
        <f>1+(G36/100)</f>
        <v>0.99503352305358772</v>
      </c>
      <c r="L36" s="20">
        <f t="shared" si="0"/>
        <v>0.99875606161358332</v>
      </c>
      <c r="M36" s="22">
        <f t="shared" si="1"/>
        <v>0.99835615337121852</v>
      </c>
      <c r="N36" s="23">
        <f t="shared" si="2"/>
        <v>-0.16438466287814757</v>
      </c>
    </row>
    <row r="37" spans="1:14" x14ac:dyDescent="0.35">
      <c r="A37" s="4">
        <v>2008</v>
      </c>
      <c r="B37" s="11" t="s">
        <v>11</v>
      </c>
      <c r="C37" s="11">
        <v>0.70623916454299895</v>
      </c>
      <c r="D37" s="11">
        <v>1</v>
      </c>
      <c r="E37" s="11">
        <v>2.59708063823444</v>
      </c>
      <c r="F37" s="11">
        <v>0.53057093730137195</v>
      </c>
      <c r="G37" s="11">
        <v>-0.199715060783417</v>
      </c>
      <c r="H37" s="11">
        <v>2.2662247617164799</v>
      </c>
      <c r="I37" s="12">
        <v>0</v>
      </c>
      <c r="K37" s="21">
        <f>1+(G37/100)</f>
        <v>0.99800284939216588</v>
      </c>
      <c r="L37" s="20">
        <f t="shared" si="0"/>
        <v>0.99950033797957061</v>
      </c>
      <c r="M37" s="22">
        <f t="shared" si="1"/>
        <v>0.99874836121317678</v>
      </c>
      <c r="N37" s="23">
        <f t="shared" si="2"/>
        <v>-0.12516387868232171</v>
      </c>
    </row>
    <row r="38" spans="1:14" x14ac:dyDescent="0.35">
      <c r="A38" s="4">
        <v>2008</v>
      </c>
      <c r="B38" s="11" t="s">
        <v>12</v>
      </c>
      <c r="C38" s="11">
        <v>1.0711293936236701</v>
      </c>
      <c r="D38" s="11">
        <v>1</v>
      </c>
      <c r="E38" s="11">
        <v>1.4006578574359001</v>
      </c>
      <c r="F38" s="11">
        <v>-1.9857260875326098E-3</v>
      </c>
      <c r="G38" s="11">
        <v>0.29707395053061902</v>
      </c>
      <c r="H38" s="11">
        <v>1.10556963299281</v>
      </c>
      <c r="I38" s="12">
        <v>0</v>
      </c>
      <c r="K38" s="21">
        <f>1+(G38/100)</f>
        <v>1.0029707395053062</v>
      </c>
      <c r="L38" s="20">
        <f t="shared" si="0"/>
        <v>1.000741858935944</v>
      </c>
      <c r="M38" s="22">
        <f t="shared" si="1"/>
        <v>0.99931437244156707</v>
      </c>
      <c r="N38" s="23">
        <f t="shared" si="2"/>
        <v>-6.8562755843293299E-2</v>
      </c>
    </row>
    <row r="39" spans="1:14" x14ac:dyDescent="0.35">
      <c r="A39" s="4">
        <v>2008</v>
      </c>
      <c r="B39" s="11" t="s">
        <v>9</v>
      </c>
      <c r="C39" s="11">
        <v>1.3959933216100799</v>
      </c>
      <c r="D39" s="11">
        <v>1</v>
      </c>
      <c r="E39" s="11">
        <v>1.6261421183204301</v>
      </c>
      <c r="F39" s="11">
        <v>0.51126306444088998</v>
      </c>
      <c r="G39" s="11">
        <v>-0.30037655340713998</v>
      </c>
      <c r="H39" s="11">
        <v>1.41525560728669</v>
      </c>
      <c r="I39" s="12">
        <v>0</v>
      </c>
      <c r="K39" s="21">
        <f>1+(G39/100)</f>
        <v>0.99699623446592855</v>
      </c>
      <c r="L39" s="20">
        <f t="shared" si="0"/>
        <v>0.99924821126184271</v>
      </c>
      <c r="M39" s="22">
        <f t="shared" si="1"/>
        <v>0.99824655189804634</v>
      </c>
      <c r="N39" s="23">
        <f t="shared" si="2"/>
        <v>-0.17534481019536585</v>
      </c>
    </row>
    <row r="40" spans="1:14" x14ac:dyDescent="0.35">
      <c r="A40" s="4">
        <v>2009</v>
      </c>
      <c r="B40" s="11" t="s">
        <v>10</v>
      </c>
      <c r="C40" s="11">
        <v>2.2820996791397099</v>
      </c>
      <c r="D40" s="11">
        <v>1</v>
      </c>
      <c r="E40" s="11">
        <v>3.50451810256809</v>
      </c>
      <c r="F40" s="11">
        <v>0.17977453305007601</v>
      </c>
      <c r="G40" s="11">
        <v>0.41903787202982401</v>
      </c>
      <c r="H40" s="11">
        <v>2.9057056974881799</v>
      </c>
      <c r="I40" s="12">
        <v>0</v>
      </c>
      <c r="K40" s="21">
        <f>1+(G40/100)</f>
        <v>1.0041903787202981</v>
      </c>
      <c r="L40" s="20">
        <f t="shared" si="0"/>
        <v>1.0010459525105044</v>
      </c>
      <c r="M40" s="22">
        <f t="shared" si="1"/>
        <v>1.0005352746201703</v>
      </c>
      <c r="N40" s="23">
        <f t="shared" si="2"/>
        <v>5.35274620170334E-2</v>
      </c>
    </row>
    <row r="41" spans="1:14" x14ac:dyDescent="0.35">
      <c r="A41" s="4">
        <v>2009</v>
      </c>
      <c r="B41" s="11" t="s">
        <v>11</v>
      </c>
      <c r="C41" s="11">
        <v>2.3400748654608199</v>
      </c>
      <c r="D41" s="11">
        <v>1</v>
      </c>
      <c r="E41" s="11">
        <v>2.8289813835188502</v>
      </c>
      <c r="F41" s="11">
        <v>1.63379755408782</v>
      </c>
      <c r="G41" s="11">
        <v>-0.72281695657324796</v>
      </c>
      <c r="H41" s="11">
        <v>1.91800078600427</v>
      </c>
      <c r="I41" s="12">
        <v>0</v>
      </c>
      <c r="K41" s="21">
        <f>1+(G41/100)</f>
        <v>0.99277183043426753</v>
      </c>
      <c r="L41" s="20">
        <f t="shared" si="0"/>
        <v>0.99818803874954998</v>
      </c>
      <c r="M41" s="22">
        <f t="shared" si="1"/>
        <v>0.99922161656463981</v>
      </c>
      <c r="N41" s="23">
        <f t="shared" si="2"/>
        <v>-7.7838343536018595E-2</v>
      </c>
    </row>
    <row r="42" spans="1:14" x14ac:dyDescent="0.35">
      <c r="A42" s="4">
        <v>2009</v>
      </c>
      <c r="B42" s="11" t="s">
        <v>12</v>
      </c>
      <c r="C42" s="11">
        <v>2.66411385847913</v>
      </c>
      <c r="D42" s="11">
        <v>0</v>
      </c>
      <c r="E42" s="11">
        <v>2.6968138295091602</v>
      </c>
      <c r="F42" s="11">
        <v>0.40462034173459699</v>
      </c>
      <c r="G42" s="11">
        <v>-0.470276109588186</v>
      </c>
      <c r="H42" s="11">
        <v>2.76246959736274</v>
      </c>
      <c r="I42" s="12">
        <v>0</v>
      </c>
      <c r="K42" s="21">
        <f>1+(G42/100)</f>
        <v>0.99529723890411814</v>
      </c>
      <c r="L42" s="20">
        <f t="shared" si="0"/>
        <v>0.99882223064831155</v>
      </c>
      <c r="M42" s="22">
        <f t="shared" si="1"/>
        <v>0.99730490441390507</v>
      </c>
      <c r="N42" s="23">
        <f t="shared" si="2"/>
        <v>-0.26950955860949311</v>
      </c>
    </row>
    <row r="43" spans="1:14" x14ac:dyDescent="0.35">
      <c r="A43" s="4">
        <v>2009</v>
      </c>
      <c r="B43" s="11" t="s">
        <v>9</v>
      </c>
      <c r="C43" s="11">
        <v>2.8115339789516298</v>
      </c>
      <c r="D43" s="11">
        <v>0</v>
      </c>
      <c r="E43" s="11">
        <v>2.2158226002104202</v>
      </c>
      <c r="F43" s="11">
        <v>0.60701753974819905</v>
      </c>
      <c r="G43" s="11">
        <v>-0.72267409998676402</v>
      </c>
      <c r="H43" s="11">
        <v>2.33147916044899</v>
      </c>
      <c r="I43" s="12">
        <v>0</v>
      </c>
      <c r="K43" s="21">
        <f>1+(G43/100)</f>
        <v>0.99277325900013236</v>
      </c>
      <c r="L43" s="20">
        <f t="shared" si="0"/>
        <v>0.99818839783925861</v>
      </c>
      <c r="M43" s="22">
        <f t="shared" si="1"/>
        <v>0.99624715208350856</v>
      </c>
      <c r="N43" s="23">
        <f t="shared" si="2"/>
        <v>-0.37528479164914419</v>
      </c>
    </row>
    <row r="44" spans="1:14" x14ac:dyDescent="0.35">
      <c r="A44" s="4">
        <v>2010</v>
      </c>
      <c r="B44" s="11" t="s">
        <v>10</v>
      </c>
      <c r="C44" s="11">
        <v>2.29117996374957</v>
      </c>
      <c r="D44" s="11">
        <v>0</v>
      </c>
      <c r="E44" s="11">
        <v>1.4231020417598499</v>
      </c>
      <c r="F44" s="11">
        <v>0.46962758163525897</v>
      </c>
      <c r="G44" s="11">
        <v>-1.1012365896818801</v>
      </c>
      <c r="H44" s="11">
        <v>2.0547110498064698</v>
      </c>
      <c r="I44" s="12">
        <v>0</v>
      </c>
      <c r="K44" s="21">
        <f>1+(G44/100)</f>
        <v>0.98898763410318125</v>
      </c>
      <c r="L44" s="20">
        <f t="shared" si="0"/>
        <v>0.99723546566442245</v>
      </c>
      <c r="M44" s="22">
        <f t="shared" si="1"/>
        <v>0.99245493189727185</v>
      </c>
      <c r="N44" s="23">
        <f t="shared" si="2"/>
        <v>-0.75450681027281474</v>
      </c>
    </row>
    <row r="45" spans="1:14" x14ac:dyDescent="0.35">
      <c r="A45" s="4">
        <v>2010</v>
      </c>
      <c r="B45" s="11" t="s">
        <v>11</v>
      </c>
      <c r="C45" s="11">
        <v>1.86947247160744</v>
      </c>
      <c r="D45" s="11">
        <v>0</v>
      </c>
      <c r="E45" s="11">
        <v>1.14215141495035</v>
      </c>
      <c r="F45" s="11">
        <v>0.40610007983017998</v>
      </c>
      <c r="G45" s="11">
        <v>-0.40289978642728402</v>
      </c>
      <c r="H45" s="11">
        <v>1.1389511215474499</v>
      </c>
      <c r="I45" s="12">
        <v>0</v>
      </c>
      <c r="K45" s="21">
        <f>1+(G45/100)</f>
        <v>0.9959710021357272</v>
      </c>
      <c r="L45" s="20">
        <f t="shared" si="0"/>
        <v>0.99899122512009175</v>
      </c>
      <c r="M45" s="22">
        <f t="shared" si="1"/>
        <v>0.99325350515574862</v>
      </c>
      <c r="N45" s="23">
        <f t="shared" si="2"/>
        <v>-0.67464948442513828</v>
      </c>
    </row>
    <row r="46" spans="1:14" x14ac:dyDescent="0.35">
      <c r="A46" s="4">
        <v>2010</v>
      </c>
      <c r="B46" s="11" t="s">
        <v>12</v>
      </c>
      <c r="C46" s="11">
        <v>1.23410193243943</v>
      </c>
      <c r="D46" s="11">
        <v>0</v>
      </c>
      <c r="E46" s="11">
        <v>0.15533167283709101</v>
      </c>
      <c r="F46" s="11">
        <v>7.1170083391704095E-2</v>
      </c>
      <c r="G46" s="11">
        <v>-0.933840868202227</v>
      </c>
      <c r="H46" s="11">
        <v>1.0180024576476101</v>
      </c>
      <c r="I46" s="12">
        <v>0</v>
      </c>
      <c r="K46" s="21">
        <f>1+(G46/100)</f>
        <v>0.99066159131797771</v>
      </c>
      <c r="L46" s="20">
        <f t="shared" si="0"/>
        <v>0.99765717745507243</v>
      </c>
      <c r="M46" s="22">
        <f t="shared" si="1"/>
        <v>0.99209494747414151</v>
      </c>
      <c r="N46" s="23">
        <f t="shared" si="2"/>
        <v>-0.79050525258584914</v>
      </c>
    </row>
    <row r="47" spans="1:14" x14ac:dyDescent="0.35">
      <c r="A47" s="4">
        <v>2010</v>
      </c>
      <c r="B47" s="11" t="s">
        <v>9</v>
      </c>
      <c r="C47" s="11">
        <v>0.72729678983611301</v>
      </c>
      <c r="D47" s="11">
        <v>0</v>
      </c>
      <c r="E47" s="11">
        <v>0.18860202979715099</v>
      </c>
      <c r="F47" s="11">
        <v>-0.71874128057860098</v>
      </c>
      <c r="G47" s="11">
        <v>-0.102774628462075</v>
      </c>
      <c r="H47" s="11">
        <v>1.0101179388378201</v>
      </c>
      <c r="I47" s="12">
        <v>0</v>
      </c>
      <c r="K47" s="21">
        <f>1+(G47/100)</f>
        <v>0.99897225371537923</v>
      </c>
      <c r="L47" s="20">
        <f t="shared" si="0"/>
        <v>0.99974296434483334</v>
      </c>
      <c r="M47" s="22">
        <f t="shared" si="1"/>
        <v>0.99364002411401409</v>
      </c>
      <c r="N47" s="23">
        <f t="shared" si="2"/>
        <v>-0.63599758859859135</v>
      </c>
    </row>
    <row r="48" spans="1:14" x14ac:dyDescent="0.35">
      <c r="A48" s="4">
        <v>2011</v>
      </c>
      <c r="B48" s="11" t="s">
        <v>10</v>
      </c>
      <c r="C48" s="13">
        <v>1.9277716660481801E-4</v>
      </c>
      <c r="D48" s="11">
        <v>0</v>
      </c>
      <c r="E48" s="11">
        <v>-1.48531400891818</v>
      </c>
      <c r="F48" s="11">
        <v>-0.81430110572805203</v>
      </c>
      <c r="G48" s="11">
        <v>-0.535527582498042</v>
      </c>
      <c r="H48" s="11">
        <v>-0.13548532069208499</v>
      </c>
      <c r="I48" s="12">
        <v>0</v>
      </c>
      <c r="K48" s="21">
        <f>1+(G48/100)</f>
        <v>0.99464472417501959</v>
      </c>
      <c r="L48" s="20">
        <f t="shared" si="0"/>
        <v>0.9986584839592938</v>
      </c>
      <c r="M48" s="22">
        <f t="shared" si="1"/>
        <v>0.99505791184616421</v>
      </c>
      <c r="N48" s="23">
        <f t="shared" si="2"/>
        <v>-0.49420881538357886</v>
      </c>
    </row>
    <row r="49" spans="1:14" x14ac:dyDescent="0.35">
      <c r="A49" s="4">
        <v>2011</v>
      </c>
      <c r="B49" s="11" t="s">
        <v>11</v>
      </c>
      <c r="C49" s="11">
        <v>-0.64011229951307602</v>
      </c>
      <c r="D49" s="11">
        <v>0</v>
      </c>
      <c r="E49" s="11">
        <v>-1.41906889176837</v>
      </c>
      <c r="F49" s="11">
        <v>-0.23889979780539</v>
      </c>
      <c r="G49" s="11">
        <v>-0.71242586769115301</v>
      </c>
      <c r="H49" s="11">
        <v>-0.46774322627183001</v>
      </c>
      <c r="I49" s="12">
        <v>0</v>
      </c>
      <c r="K49" s="21">
        <f>1+(G49/100)</f>
        <v>0.99287574132308842</v>
      </c>
      <c r="L49" s="20">
        <f t="shared" si="0"/>
        <v>0.99821415717179041</v>
      </c>
      <c r="M49" s="22">
        <f t="shared" si="1"/>
        <v>0.99428390343592388</v>
      </c>
      <c r="N49" s="23">
        <f t="shared" si="2"/>
        <v>-0.5716096564076123</v>
      </c>
    </row>
    <row r="50" spans="1:14" x14ac:dyDescent="0.35">
      <c r="A50" s="4">
        <v>2011</v>
      </c>
      <c r="B50" s="11" t="s">
        <v>12</v>
      </c>
      <c r="C50" s="11">
        <v>-1.2489815821586701</v>
      </c>
      <c r="D50" s="11">
        <v>0</v>
      </c>
      <c r="E50" s="11">
        <v>-2.2801454577453</v>
      </c>
      <c r="F50" s="11">
        <v>-1.4707237171757399</v>
      </c>
      <c r="G50" s="11">
        <v>-0.10497426247345799</v>
      </c>
      <c r="H50" s="11">
        <v>-0.70444747809610098</v>
      </c>
      <c r="I50" s="12">
        <v>0</v>
      </c>
      <c r="K50" s="21">
        <f>1+(G50/100)</f>
        <v>0.99895025737526544</v>
      </c>
      <c r="L50" s="20">
        <f t="shared" si="0"/>
        <v>0.99973746097179916</v>
      </c>
      <c r="M50" s="22">
        <f t="shared" si="1"/>
        <v>0.99635715310725947</v>
      </c>
      <c r="N50" s="23">
        <f t="shared" si="2"/>
        <v>-0.36428468927405255</v>
      </c>
    </row>
    <row r="51" spans="1:14" x14ac:dyDescent="0.35">
      <c r="A51" s="4">
        <v>2011</v>
      </c>
      <c r="B51" s="11" t="s">
        <v>9</v>
      </c>
      <c r="C51" s="11">
        <v>-1.59918235466956</v>
      </c>
      <c r="D51" s="11">
        <v>0</v>
      </c>
      <c r="E51" s="11">
        <v>-1.21220106024639</v>
      </c>
      <c r="F51" s="11">
        <v>-0.27598768865392198</v>
      </c>
      <c r="G51" s="11">
        <v>-0.19668826231412201</v>
      </c>
      <c r="H51" s="11">
        <v>-0.73952510927834902</v>
      </c>
      <c r="I51" s="12">
        <v>0</v>
      </c>
      <c r="K51" s="21">
        <f>1+(G51/100)</f>
        <v>0.99803311737685874</v>
      </c>
      <c r="L51" s="20">
        <f t="shared" si="0"/>
        <v>0.99950791624372159</v>
      </c>
      <c r="M51" s="22">
        <f t="shared" si="1"/>
        <v>0.99612290103925882</v>
      </c>
      <c r="N51" s="23">
        <f t="shared" si="2"/>
        <v>-0.38770989607411765</v>
      </c>
    </row>
    <row r="52" spans="1:14" x14ac:dyDescent="0.35">
      <c r="A52" s="4">
        <v>2012</v>
      </c>
      <c r="B52" s="11" t="s">
        <v>10</v>
      </c>
      <c r="C52" s="11">
        <v>-1.61924746605861</v>
      </c>
      <c r="D52" s="11">
        <v>0</v>
      </c>
      <c r="E52" s="11">
        <v>-1.5655744544743999</v>
      </c>
      <c r="F52" s="11">
        <v>-0.44133752177254099</v>
      </c>
      <c r="G52" s="11">
        <v>-0.30037996377363702</v>
      </c>
      <c r="H52" s="11">
        <v>-0.82385696892822402</v>
      </c>
      <c r="I52" s="12">
        <v>0</v>
      </c>
      <c r="K52" s="21">
        <f>1+(G52/100)</f>
        <v>0.99699620036226366</v>
      </c>
      <c r="L52" s="20">
        <f t="shared" si="0"/>
        <v>0.99924820271666837</v>
      </c>
      <c r="M52" s="22">
        <f t="shared" si="1"/>
        <v>0.99671112250718674</v>
      </c>
      <c r="N52" s="23">
        <f t="shared" si="2"/>
        <v>-0.3288877492813258</v>
      </c>
    </row>
    <row r="53" spans="1:14" x14ac:dyDescent="0.35">
      <c r="A53" s="4">
        <v>2012</v>
      </c>
      <c r="B53" s="11" t="s">
        <v>11</v>
      </c>
      <c r="C53" s="11">
        <v>-1.6062799535713601</v>
      </c>
      <c r="D53" s="11">
        <v>0</v>
      </c>
      <c r="E53" s="11">
        <v>-1.3671988418193499</v>
      </c>
      <c r="F53" s="11">
        <v>-0.67826794775645705</v>
      </c>
      <c r="G53" s="11">
        <v>-0.105513062374589</v>
      </c>
      <c r="H53" s="11">
        <v>-0.58341783168830297</v>
      </c>
      <c r="I53" s="12">
        <v>0</v>
      </c>
      <c r="K53" s="21">
        <f>1+(G53/100)</f>
        <v>0.99894486937625415</v>
      </c>
      <c r="L53" s="20">
        <f t="shared" si="0"/>
        <v>0.99973611290784237</v>
      </c>
      <c r="M53" s="22">
        <f t="shared" si="1"/>
        <v>0.99823078659849207</v>
      </c>
      <c r="N53" s="23">
        <f t="shared" si="2"/>
        <v>-0.17692134015079297</v>
      </c>
    </row>
    <row r="54" spans="1:14" x14ac:dyDescent="0.35">
      <c r="A54" s="4">
        <v>2012</v>
      </c>
      <c r="B54" s="11" t="s">
        <v>12</v>
      </c>
      <c r="C54" s="11">
        <v>-1.25972027872767</v>
      </c>
      <c r="D54" s="11">
        <v>0</v>
      </c>
      <c r="E54" s="11">
        <v>-0.893906758370558</v>
      </c>
      <c r="F54" s="11">
        <v>-8.6793417531690606E-2</v>
      </c>
      <c r="G54" s="11">
        <v>-0.37296186411332299</v>
      </c>
      <c r="H54" s="11">
        <v>-0.43415147672554399</v>
      </c>
      <c r="I54" s="12">
        <v>0</v>
      </c>
      <c r="K54" s="21">
        <f>1+(G54/100)</f>
        <v>0.99627038135886681</v>
      </c>
      <c r="L54" s="20">
        <f t="shared" si="0"/>
        <v>0.99906628842760192</v>
      </c>
      <c r="M54" s="22">
        <f t="shared" si="1"/>
        <v>0.99756062555832647</v>
      </c>
      <c r="N54" s="23">
        <f t="shared" si="2"/>
        <v>-0.24393744416735252</v>
      </c>
    </row>
    <row r="55" spans="1:14" x14ac:dyDescent="0.35">
      <c r="A55" s="4">
        <v>2012</v>
      </c>
      <c r="B55" s="11" t="s">
        <v>9</v>
      </c>
      <c r="C55" s="11">
        <v>-1.35047456019712</v>
      </c>
      <c r="D55" s="11">
        <v>0</v>
      </c>
      <c r="E55" s="11">
        <v>-1.5752181861241801</v>
      </c>
      <c r="F55" s="11">
        <v>-0.89337262217803104</v>
      </c>
      <c r="G55" s="11">
        <v>-0.19353925807168201</v>
      </c>
      <c r="H55" s="11">
        <v>-0.48830630587447199</v>
      </c>
      <c r="I55" s="12">
        <v>0</v>
      </c>
      <c r="K55" s="21">
        <f>1+(G55/100)</f>
        <v>0.99806460741928316</v>
      </c>
      <c r="L55" s="20">
        <f t="shared" si="0"/>
        <v>0.99951580029429488</v>
      </c>
      <c r="M55" s="22">
        <f t="shared" si="1"/>
        <v>0.99756849424880312</v>
      </c>
      <c r="N55" s="23">
        <f t="shared" si="2"/>
        <v>-0.24315057511968829</v>
      </c>
    </row>
    <row r="56" spans="1:14" x14ac:dyDescent="0.35">
      <c r="A56" s="4">
        <v>2013</v>
      </c>
      <c r="B56" s="11" t="s">
        <v>10</v>
      </c>
      <c r="C56" s="11">
        <v>-1.41028306112017</v>
      </c>
      <c r="D56" s="11">
        <v>0</v>
      </c>
      <c r="E56" s="11">
        <v>-1.80480845816661</v>
      </c>
      <c r="F56" s="11">
        <v>-1.0425621598511201</v>
      </c>
      <c r="G56" s="11">
        <v>9.6102720547301401E-3</v>
      </c>
      <c r="H56" s="11">
        <v>-0.77185657037022004</v>
      </c>
      <c r="I56" s="12">
        <v>0</v>
      </c>
      <c r="K56" s="21">
        <f>1+(G56/100)</f>
        <v>1.0000961027205473</v>
      </c>
      <c r="L56" s="20">
        <f t="shared" si="0"/>
        <v>1.0000240248143355</v>
      </c>
      <c r="M56" s="22">
        <f t="shared" si="1"/>
        <v>0.9983430122110778</v>
      </c>
      <c r="N56" s="23">
        <f t="shared" si="2"/>
        <v>-0.1656987788922204</v>
      </c>
    </row>
    <row r="57" spans="1:14" x14ac:dyDescent="0.35">
      <c r="A57" s="4">
        <v>2013</v>
      </c>
      <c r="B57" s="11" t="s">
        <v>11</v>
      </c>
      <c r="C57" s="11">
        <v>-1.37969396601783</v>
      </c>
      <c r="D57" s="11">
        <v>0</v>
      </c>
      <c r="E57" s="11">
        <v>-1.24484246140997</v>
      </c>
      <c r="F57" s="11">
        <v>-0.336065568637548</v>
      </c>
      <c r="G57" s="11">
        <v>-7.97493283274055E-2</v>
      </c>
      <c r="H57" s="11">
        <v>-0.82902756444502301</v>
      </c>
      <c r="I57" s="12">
        <v>0</v>
      </c>
      <c r="K57" s="21">
        <f>1+(G57/100)</f>
        <v>0.99920250671672595</v>
      </c>
      <c r="L57" s="20">
        <f t="shared" si="0"/>
        <v>0.99980056702684705</v>
      </c>
      <c r="M57" s="22">
        <f t="shared" si="1"/>
        <v>0.99840737651530354</v>
      </c>
      <c r="N57" s="23">
        <f t="shared" si="2"/>
        <v>-0.15926234846964649</v>
      </c>
    </row>
    <row r="58" spans="1:14" x14ac:dyDescent="0.35">
      <c r="A58" s="4">
        <v>2013</v>
      </c>
      <c r="B58" s="11" t="s">
        <v>12</v>
      </c>
      <c r="C58" s="11">
        <v>-1.4302350235093999</v>
      </c>
      <c r="D58" s="11">
        <v>0</v>
      </c>
      <c r="E58" s="11">
        <v>-1.09607098833686</v>
      </c>
      <c r="F58" s="11">
        <v>-0.60420272593914204</v>
      </c>
      <c r="G58" s="11">
        <v>-8.8100998439908998E-2</v>
      </c>
      <c r="H58" s="11">
        <v>-0.40376726395780899</v>
      </c>
      <c r="I58" s="12">
        <v>0</v>
      </c>
      <c r="K58" s="21">
        <f>1+(G58/100)</f>
        <v>0.99911899001560089</v>
      </c>
      <c r="L58" s="20">
        <f t="shared" si="0"/>
        <v>0.99977967469973805</v>
      </c>
      <c r="M58" s="22">
        <f t="shared" si="1"/>
        <v>0.99912029228941734</v>
      </c>
      <c r="N58" s="23">
        <f t="shared" si="2"/>
        <v>-8.7970771058265562E-2</v>
      </c>
    </row>
    <row r="59" spans="1:14" x14ac:dyDescent="0.35">
      <c r="A59" s="4">
        <v>2013</v>
      </c>
      <c r="B59" s="11" t="s">
        <v>9</v>
      </c>
      <c r="C59" s="11">
        <v>-1.37579582138347</v>
      </c>
      <c r="D59" s="11">
        <v>0</v>
      </c>
      <c r="E59" s="11">
        <v>-1.3574613776204401</v>
      </c>
      <c r="F59" s="11">
        <v>-0.91563589573068804</v>
      </c>
      <c r="G59" s="11">
        <v>9.4375993756464702E-3</v>
      </c>
      <c r="H59" s="11">
        <v>-0.45126308126540798</v>
      </c>
      <c r="I59" s="12">
        <v>0</v>
      </c>
      <c r="K59" s="21">
        <f>1+(G59/100)</f>
        <v>1.0000943759937564</v>
      </c>
      <c r="L59" s="20">
        <f t="shared" si="0"/>
        <v>1.00002359316347</v>
      </c>
      <c r="M59" s="22">
        <f t="shared" si="1"/>
        <v>0.99962788422515603</v>
      </c>
      <c r="N59" s="23">
        <f t="shared" si="2"/>
        <v>-3.7211577484397296E-2</v>
      </c>
    </row>
    <row r="60" spans="1:14" x14ac:dyDescent="0.35">
      <c r="A60" s="4">
        <v>2014</v>
      </c>
      <c r="B60" s="11" t="s">
        <v>10</v>
      </c>
      <c r="C60" s="11">
        <v>-1.2526130229269099</v>
      </c>
      <c r="D60" s="11">
        <v>0</v>
      </c>
      <c r="E60" s="11">
        <v>-1.31207726434036</v>
      </c>
      <c r="F60" s="11">
        <v>-0.26334643544097303</v>
      </c>
      <c r="G60" s="11">
        <v>-0.39113416470222401</v>
      </c>
      <c r="H60" s="11">
        <v>-0.657596664197167</v>
      </c>
      <c r="I60" s="12">
        <v>0</v>
      </c>
      <c r="K60" s="21">
        <f>1+(G60/100)</f>
        <v>0.99608865835297777</v>
      </c>
      <c r="L60" s="20">
        <f t="shared" si="0"/>
        <v>0.99902072706388823</v>
      </c>
      <c r="M60" s="22">
        <f t="shared" si="1"/>
        <v>0.99862498391212229</v>
      </c>
      <c r="N60" s="23">
        <f t="shared" si="2"/>
        <v>-0.13750160878777118</v>
      </c>
    </row>
    <row r="61" spans="1:14" x14ac:dyDescent="0.35">
      <c r="A61" s="4">
        <v>2014</v>
      </c>
      <c r="B61" s="11" t="s">
        <v>11</v>
      </c>
      <c r="C61" s="11">
        <v>-1.13264412029527</v>
      </c>
      <c r="D61" s="11">
        <v>0</v>
      </c>
      <c r="E61" s="11">
        <v>-0.76496685088342897</v>
      </c>
      <c r="F61" s="11">
        <v>-9.8298419213737498E-2</v>
      </c>
      <c r="G61" s="11">
        <v>-0.14397327457248901</v>
      </c>
      <c r="H61" s="11">
        <v>-0.52269515709720205</v>
      </c>
      <c r="I61" s="12">
        <v>0</v>
      </c>
      <c r="K61" s="21">
        <f>1+(G61/100)</f>
        <v>0.99856026725427516</v>
      </c>
      <c r="L61" s="20">
        <f t="shared" si="0"/>
        <v>0.99963987232235396</v>
      </c>
      <c r="M61" s="22">
        <f t="shared" si="1"/>
        <v>0.99846447815529282</v>
      </c>
      <c r="N61" s="23">
        <f t="shared" si="2"/>
        <v>-0.15355218447071772</v>
      </c>
    </row>
    <row r="62" spans="1:14" x14ac:dyDescent="0.35">
      <c r="A62" s="4">
        <v>2014</v>
      </c>
      <c r="B62" s="11" t="s">
        <v>12</v>
      </c>
      <c r="C62" s="11">
        <v>-0.90987322549305705</v>
      </c>
      <c r="D62" s="11">
        <v>0</v>
      </c>
      <c r="E62" s="11">
        <v>-0.20498740912798799</v>
      </c>
      <c r="F62" s="11">
        <v>2.63600672475016E-2</v>
      </c>
      <c r="G62" s="11">
        <v>0.110507840579066</v>
      </c>
      <c r="H62" s="11">
        <v>-0.34185531695455601</v>
      </c>
      <c r="I62" s="12">
        <v>0</v>
      </c>
      <c r="K62" s="21">
        <f>1+(G62/100)</f>
        <v>1.0011050784057907</v>
      </c>
      <c r="L62" s="20">
        <f t="shared" si="0"/>
        <v>1.0002761551878545</v>
      </c>
      <c r="M62" s="22">
        <f t="shared" si="1"/>
        <v>0.99896030553008963</v>
      </c>
      <c r="N62" s="23">
        <f t="shared" si="2"/>
        <v>-0.10396944699103683</v>
      </c>
    </row>
    <row r="63" spans="1:14" x14ac:dyDescent="0.35">
      <c r="A63" s="4">
        <v>2014</v>
      </c>
      <c r="B63" s="11" t="s">
        <v>9</v>
      </c>
      <c r="C63" s="11">
        <v>-0.72080882766631005</v>
      </c>
      <c r="D63" s="11">
        <v>0</v>
      </c>
      <c r="E63" s="11">
        <v>-0.60120378631346305</v>
      </c>
      <c r="F63" s="11">
        <v>-0.86780550409068102</v>
      </c>
      <c r="G63" s="11">
        <v>0.46004578525495399</v>
      </c>
      <c r="H63" s="11">
        <v>-0.19344406747773599</v>
      </c>
      <c r="I63" s="12">
        <v>0</v>
      </c>
      <c r="K63" s="21">
        <f>1+(G63/100)</f>
        <v>1.0046004578525496</v>
      </c>
      <c r="L63" s="20">
        <f t="shared" si="0"/>
        <v>1.001148135626089</v>
      </c>
      <c r="M63" s="22">
        <f t="shared" si="1"/>
        <v>1.0000836523088248</v>
      </c>
      <c r="N63" s="23">
        <f t="shared" si="2"/>
        <v>8.365230882478869E-3</v>
      </c>
    </row>
    <row r="64" spans="1:14" x14ac:dyDescent="0.35">
      <c r="A64" s="4">
        <v>2015</v>
      </c>
      <c r="B64" s="11" t="s">
        <v>10</v>
      </c>
      <c r="C64" s="11">
        <v>-0.36906821222222003</v>
      </c>
      <c r="D64" s="11">
        <v>0</v>
      </c>
      <c r="E64" s="11">
        <v>9.4885197435993995E-2</v>
      </c>
      <c r="F64" s="11">
        <v>2.5285339243252301E-2</v>
      </c>
      <c r="G64" s="11">
        <v>4.8532842507524002E-2</v>
      </c>
      <c r="H64" s="11">
        <v>2.1067015685217599E-2</v>
      </c>
      <c r="I64" s="12">
        <v>0</v>
      </c>
      <c r="K64" s="21">
        <f>1+(G64/100)</f>
        <v>1.0004853284250752</v>
      </c>
      <c r="L64" s="20">
        <f t="shared" si="0"/>
        <v>1.0001213100302984</v>
      </c>
      <c r="M64" s="22">
        <f t="shared" si="1"/>
        <v>1.001185406259367</v>
      </c>
      <c r="N64" s="23">
        <f t="shared" si="2"/>
        <v>0.11854062593670278</v>
      </c>
    </row>
    <row r="65" spans="1:14" x14ac:dyDescent="0.35">
      <c r="A65" s="4">
        <v>2015</v>
      </c>
      <c r="B65" s="11" t="s">
        <v>11</v>
      </c>
      <c r="C65" s="11">
        <v>-9.5978299950763193E-2</v>
      </c>
      <c r="D65" s="11">
        <v>0</v>
      </c>
      <c r="E65" s="11">
        <v>0.32739279820239903</v>
      </c>
      <c r="F65" s="11">
        <v>-5.8639399722410002E-2</v>
      </c>
      <c r="G65" s="11">
        <v>0.40192497282122203</v>
      </c>
      <c r="H65" s="11">
        <v>-1.5892774896412699E-2</v>
      </c>
      <c r="I65" s="12">
        <v>0</v>
      </c>
      <c r="K65" s="21">
        <f>1+(G65/100)</f>
        <v>1.0040192497282123</v>
      </c>
      <c r="L65" s="20">
        <f t="shared" si="0"/>
        <v>1.0010033015010096</v>
      </c>
      <c r="M65" s="22">
        <f t="shared" si="1"/>
        <v>1.0025509434232327</v>
      </c>
      <c r="N65" s="23">
        <f t="shared" si="2"/>
        <v>0.25509434232326988</v>
      </c>
    </row>
    <row r="66" spans="1:14" x14ac:dyDescent="0.35">
      <c r="A66" s="4">
        <v>2015</v>
      </c>
      <c r="B66" s="11" t="s">
        <v>12</v>
      </c>
      <c r="C66" s="11">
        <v>-3.6918528104534901E-2</v>
      </c>
      <c r="D66" s="11">
        <v>0</v>
      </c>
      <c r="E66" s="11">
        <v>3.1251678256924202E-2</v>
      </c>
      <c r="F66" s="11">
        <v>-5.6961812275586499E-2</v>
      </c>
      <c r="G66" s="11">
        <v>8.3940878910922001E-2</v>
      </c>
      <c r="H66" s="11">
        <v>4.2726116215887596E-3</v>
      </c>
      <c r="I66" s="12">
        <v>0</v>
      </c>
      <c r="K66" s="21">
        <f>1+(G66/100)</f>
        <v>1.0008394087891093</v>
      </c>
      <c r="L66" s="20">
        <f t="shared" si="0"/>
        <v>1.0002097861726866</v>
      </c>
      <c r="M66" s="22">
        <f t="shared" si="1"/>
        <v>1.0024844234742911</v>
      </c>
      <c r="N66" s="23">
        <f t="shared" si="2"/>
        <v>0.24844234742911198</v>
      </c>
    </row>
    <row r="67" spans="1:14" x14ac:dyDescent="0.35">
      <c r="A67" s="4">
        <v>2015</v>
      </c>
      <c r="B67" s="11" t="s">
        <v>9</v>
      </c>
      <c r="C67" s="11">
        <v>9.0122231934635699E-2</v>
      </c>
      <c r="D67" s="11">
        <v>0</v>
      </c>
      <c r="E67" s="11">
        <v>-9.3040746156780596E-2</v>
      </c>
      <c r="F67" s="11">
        <v>0.115098239529363</v>
      </c>
      <c r="G67" s="11">
        <v>-0.14419021772363599</v>
      </c>
      <c r="H67" s="11">
        <v>-6.39487679625068E-2</v>
      </c>
      <c r="I67" s="12">
        <v>0</v>
      </c>
      <c r="K67" s="21">
        <f>1+(G67/100)</f>
        <v>0.99855809782276361</v>
      </c>
      <c r="L67" s="20">
        <f t="shared" si="0"/>
        <v>0.9996393293776572</v>
      </c>
      <c r="M67" s="22">
        <f t="shared" si="1"/>
        <v>1.0009736033386201</v>
      </c>
      <c r="N67" s="23">
        <f t="shared" si="2"/>
        <v>9.7360333862006598E-2</v>
      </c>
    </row>
    <row r="68" spans="1:14" x14ac:dyDescent="0.35">
      <c r="A68" s="4">
        <v>2016</v>
      </c>
      <c r="B68" s="11" t="s">
        <v>10</v>
      </c>
      <c r="C68" s="11">
        <v>0.13982384525223601</v>
      </c>
      <c r="D68" s="11">
        <v>0</v>
      </c>
      <c r="E68" s="11">
        <v>0.29369165070639602</v>
      </c>
      <c r="F68" s="11">
        <v>6.6613953678313301E-3</v>
      </c>
      <c r="G68" s="11">
        <v>0.32356732808271799</v>
      </c>
      <c r="H68" s="11">
        <v>-3.6537072744153999E-2</v>
      </c>
      <c r="I68" s="12">
        <v>0</v>
      </c>
      <c r="K68" s="21">
        <f>1+(G68/100)</f>
        <v>1.0032356732808272</v>
      </c>
      <c r="L68" s="20">
        <f t="shared" ref="L68:L106" si="3">K68^(1/4)</f>
        <v>1.0008079386454241</v>
      </c>
      <c r="M68" s="22">
        <f t="shared" si="1"/>
        <v>1.0016608170917367</v>
      </c>
      <c r="N68" s="23">
        <f t="shared" si="2"/>
        <v>0.16608170917367104</v>
      </c>
    </row>
    <row r="69" spans="1:14" x14ac:dyDescent="0.35">
      <c r="A69" s="4">
        <v>2016</v>
      </c>
      <c r="B69" s="11" t="s">
        <v>11</v>
      </c>
      <c r="C69" s="11">
        <v>-4.1671726271416097E-2</v>
      </c>
      <c r="D69" s="11">
        <v>0</v>
      </c>
      <c r="E69" s="11">
        <v>-0.39858948789220899</v>
      </c>
      <c r="F69" s="11">
        <v>-0.31466813811508398</v>
      </c>
      <c r="G69" s="11">
        <v>-2.4355210845580299E-2</v>
      </c>
      <c r="H69" s="11">
        <v>-5.9566138931544797E-2</v>
      </c>
      <c r="I69" s="12">
        <v>0</v>
      </c>
      <c r="K69" s="21">
        <f>1+(G69/100)</f>
        <v>0.99975644789154416</v>
      </c>
      <c r="L69" s="20">
        <f t="shared" si="3"/>
        <v>0.99993910641106809</v>
      </c>
      <c r="M69" s="22">
        <f t="shared" si="1"/>
        <v>1.0005959229782635</v>
      </c>
      <c r="N69" s="23">
        <f t="shared" si="2"/>
        <v>5.9592297826349672E-2</v>
      </c>
    </row>
    <row r="70" spans="1:14" x14ac:dyDescent="0.35">
      <c r="A70" s="4">
        <v>2016</v>
      </c>
      <c r="B70" s="11" t="s">
        <v>12</v>
      </c>
      <c r="C70" s="11">
        <v>-7.3609171223042294E-2</v>
      </c>
      <c r="D70" s="11">
        <v>0</v>
      </c>
      <c r="E70" s="11">
        <v>-9.6498101549580703E-2</v>
      </c>
      <c r="F70" s="11">
        <v>7.6177016050347796E-2</v>
      </c>
      <c r="G70" s="11">
        <v>-4.0174547952466701E-2</v>
      </c>
      <c r="H70" s="11">
        <v>-0.13250056964746099</v>
      </c>
      <c r="I70" s="12">
        <v>0</v>
      </c>
      <c r="K70" s="21">
        <f>1+(G70/100)</f>
        <v>0.99959825452047535</v>
      </c>
      <c r="L70" s="20">
        <f t="shared" si="3"/>
        <v>0.99989954849537521</v>
      </c>
      <c r="M70" s="22">
        <f t="shared" si="1"/>
        <v>1.0002855655318921</v>
      </c>
      <c r="N70" s="23">
        <f t="shared" si="2"/>
        <v>2.8556553189207357E-2</v>
      </c>
    </row>
    <row r="71" spans="1:14" x14ac:dyDescent="0.35">
      <c r="A71" s="4">
        <v>2016</v>
      </c>
      <c r="B71" s="11" t="s">
        <v>9</v>
      </c>
      <c r="C71" s="11">
        <v>-0.10973516615711</v>
      </c>
      <c r="D71" s="11">
        <v>0</v>
      </c>
      <c r="E71" s="11">
        <v>-0.237544725893054</v>
      </c>
      <c r="F71" s="11">
        <v>-0.15806394121672901</v>
      </c>
      <c r="G71" s="11">
        <v>1.0373084006131799E-2</v>
      </c>
      <c r="H71" s="11">
        <v>-8.98538686824564E-2</v>
      </c>
      <c r="I71" s="12">
        <v>0</v>
      </c>
      <c r="K71" s="21">
        <f>1+(G71/100)</f>
        <v>1.0001037308400613</v>
      </c>
      <c r="L71" s="20">
        <f t="shared" si="3"/>
        <v>1.0000259317013183</v>
      </c>
      <c r="M71" s="22">
        <f t="shared" ref="M71:M106" si="4">L71*L70*L69*L68</f>
        <v>1.0006724177820931</v>
      </c>
      <c r="N71" s="23">
        <f t="shared" ref="N71:N106" si="5">(M71-1)*100</f>
        <v>6.7241778209314873E-2</v>
      </c>
    </row>
    <row r="72" spans="1:14" x14ac:dyDescent="0.35">
      <c r="A72" s="4">
        <v>2017</v>
      </c>
      <c r="B72" s="11" t="s">
        <v>10</v>
      </c>
      <c r="C72" s="11">
        <v>-0.27972192612346403</v>
      </c>
      <c r="D72" s="11">
        <v>0</v>
      </c>
      <c r="E72" s="11">
        <v>-0.38625538915901902</v>
      </c>
      <c r="F72" s="11">
        <v>-0.25633852000213803</v>
      </c>
      <c r="G72" s="11">
        <v>-0.230082088749712</v>
      </c>
      <c r="H72" s="11">
        <v>0.10016521959282999</v>
      </c>
      <c r="I72" s="12">
        <v>0</v>
      </c>
      <c r="K72" s="21">
        <f>1+(G72/100)</f>
        <v>0.99769917911250283</v>
      </c>
      <c r="L72" s="20">
        <f t="shared" si="3"/>
        <v>0.99942429781940378</v>
      </c>
      <c r="M72" s="22">
        <f t="shared" si="4"/>
        <v>0.99928896431689618</v>
      </c>
      <c r="N72" s="23">
        <f t="shared" si="5"/>
        <v>-7.1103568310382226E-2</v>
      </c>
    </row>
    <row r="73" spans="1:14" x14ac:dyDescent="0.35">
      <c r="A73" s="4">
        <v>2017</v>
      </c>
      <c r="B73" s="11" t="s">
        <v>11</v>
      </c>
      <c r="C73" s="11">
        <v>-0.181651355602994</v>
      </c>
      <c r="D73" s="11">
        <v>0</v>
      </c>
      <c r="E73" s="11">
        <v>-6.3072058103288697E-3</v>
      </c>
      <c r="F73" s="11">
        <v>7.0181196738465304E-2</v>
      </c>
      <c r="G73" s="11">
        <v>-0.188637375512409</v>
      </c>
      <c r="H73" s="11">
        <v>0.11214897296361501</v>
      </c>
      <c r="I73" s="12">
        <v>0</v>
      </c>
      <c r="K73" s="21">
        <f>1+(G73/100)</f>
        <v>0.99811362624487587</v>
      </c>
      <c r="L73" s="20">
        <f t="shared" si="3"/>
        <v>0.99952807259309606</v>
      </c>
      <c r="M73" s="22">
        <f t="shared" si="4"/>
        <v>0.99887819774558484</v>
      </c>
      <c r="N73" s="23">
        <f t="shared" si="5"/>
        <v>-0.11218022544151607</v>
      </c>
    </row>
    <row r="74" spans="1:14" x14ac:dyDescent="0.35">
      <c r="A74" s="4">
        <v>2017</v>
      </c>
      <c r="B74" s="11" t="s">
        <v>12</v>
      </c>
      <c r="C74" s="11">
        <v>-0.21710803492711001</v>
      </c>
      <c r="D74" s="11">
        <v>0</v>
      </c>
      <c r="E74" s="11">
        <v>-0.23832481884604401</v>
      </c>
      <c r="F74" s="11">
        <v>-0.32912398374886798</v>
      </c>
      <c r="G74" s="11">
        <v>7.1616100363844304E-2</v>
      </c>
      <c r="H74" s="11">
        <v>1.9183064538978899E-2</v>
      </c>
      <c r="I74" s="12">
        <v>0</v>
      </c>
      <c r="K74" s="21">
        <f>1+(G74/100)</f>
        <v>1.0007161610036384</v>
      </c>
      <c r="L74" s="20">
        <f t="shared" si="3"/>
        <v>1.0001789921878699</v>
      </c>
      <c r="M74" s="22">
        <f t="shared" si="4"/>
        <v>0.99915735599938194</v>
      </c>
      <c r="N74" s="23">
        <f t="shared" si="5"/>
        <v>-8.4264400061806466E-2</v>
      </c>
    </row>
    <row r="75" spans="1:14" x14ac:dyDescent="0.35">
      <c r="A75" s="4">
        <v>2017</v>
      </c>
      <c r="B75" s="11" t="s">
        <v>9</v>
      </c>
      <c r="C75" s="11">
        <v>-0.12988847462605399</v>
      </c>
      <c r="D75" s="11">
        <v>0</v>
      </c>
      <c r="E75" s="11">
        <v>0.111333515311171</v>
      </c>
      <c r="F75" s="11">
        <v>0.21954595428982601</v>
      </c>
      <c r="G75" s="11">
        <v>5.4146932702498797E-2</v>
      </c>
      <c r="H75" s="11">
        <v>-0.162359371681153</v>
      </c>
      <c r="I75" s="12">
        <v>0</v>
      </c>
      <c r="K75" s="21">
        <f>1+(G75/100)</f>
        <v>1.0005414693270249</v>
      </c>
      <c r="L75" s="20">
        <f t="shared" si="3"/>
        <v>1.000135339853963</v>
      </c>
      <c r="M75" s="22">
        <f t="shared" si="4"/>
        <v>0.99926666912522799</v>
      </c>
      <c r="N75" s="23">
        <f t="shared" si="5"/>
        <v>-7.3333087477200909E-2</v>
      </c>
    </row>
    <row r="76" spans="1:14" x14ac:dyDescent="0.35">
      <c r="A76" s="4">
        <v>2018</v>
      </c>
      <c r="B76" s="11" t="s">
        <v>10</v>
      </c>
      <c r="C76" s="11">
        <v>-6.3520459919805303E-2</v>
      </c>
      <c r="D76" s="11">
        <v>0</v>
      </c>
      <c r="E76" s="11">
        <v>-0.120783330334024</v>
      </c>
      <c r="F76" s="11">
        <v>5.3073513040385698E-2</v>
      </c>
      <c r="G76" s="11">
        <v>-0.25532510170392397</v>
      </c>
      <c r="H76" s="11">
        <v>8.1468258329514598E-2</v>
      </c>
      <c r="I76" s="12">
        <v>0</v>
      </c>
      <c r="K76" s="21">
        <f>1+(G76/100)</f>
        <v>0.99744674898296071</v>
      </c>
      <c r="L76" s="20">
        <f t="shared" si="3"/>
        <v>0.99936107516911432</v>
      </c>
      <c r="M76" s="22">
        <f t="shared" si="4"/>
        <v>0.99920345644638275</v>
      </c>
      <c r="N76" s="23">
        <f t="shared" si="5"/>
        <v>-7.9654355361724605E-2</v>
      </c>
    </row>
    <row r="77" spans="1:14" x14ac:dyDescent="0.35">
      <c r="A77" s="4">
        <v>2018</v>
      </c>
      <c r="B77" s="11" t="s">
        <v>11</v>
      </c>
      <c r="C77" s="11">
        <v>2.9283669079778699E-2</v>
      </c>
      <c r="D77" s="11">
        <v>0</v>
      </c>
      <c r="E77" s="11">
        <v>0.36490931018800699</v>
      </c>
      <c r="F77" s="11">
        <v>-1.9876924211082999E-2</v>
      </c>
      <c r="G77" s="11">
        <v>0.182958584312788</v>
      </c>
      <c r="H77" s="11">
        <v>0.20182765008630199</v>
      </c>
      <c r="I77" s="12">
        <v>0</v>
      </c>
      <c r="K77" s="21">
        <f>1+(G77/100)</f>
        <v>1.0018295858431279</v>
      </c>
      <c r="L77" s="20">
        <f t="shared" si="3"/>
        <v>1.000457082978002</v>
      </c>
      <c r="M77" s="22">
        <f t="shared" si="4"/>
        <v>1.0001321651171302</v>
      </c>
      <c r="N77" s="23">
        <f t="shared" si="5"/>
        <v>1.3216511713021184E-2</v>
      </c>
    </row>
    <row r="78" spans="1:14" x14ac:dyDescent="0.35">
      <c r="A78" s="4">
        <v>2018</v>
      </c>
      <c r="B78" s="11" t="s">
        <v>12</v>
      </c>
      <c r="C78" s="11">
        <v>0.14993878501765501</v>
      </c>
      <c r="D78" s="11">
        <v>0</v>
      </c>
      <c r="E78" s="11">
        <v>0.24429564490546299</v>
      </c>
      <c r="F78" s="11">
        <v>0.22170388825089599</v>
      </c>
      <c r="G78" s="11">
        <v>2.8179874512167902E-3</v>
      </c>
      <c r="H78" s="11">
        <v>1.97737692033494E-2</v>
      </c>
      <c r="I78" s="12">
        <v>0</v>
      </c>
      <c r="K78" s="21">
        <f>1+(G78/100)</f>
        <v>1.0000281798745121</v>
      </c>
      <c r="L78" s="20">
        <f t="shared" si="3"/>
        <v>1.0000070448941818</v>
      </c>
      <c r="M78" s="22">
        <f t="shared" si="4"/>
        <v>0.9999602258737893</v>
      </c>
      <c r="N78" s="23">
        <f t="shared" si="5"/>
        <v>-3.9774126210700977E-3</v>
      </c>
    </row>
    <row r="79" spans="1:14" x14ac:dyDescent="0.35">
      <c r="A79" s="4">
        <v>2018</v>
      </c>
      <c r="B79" s="11" t="s">
        <v>9</v>
      </c>
      <c r="C79" s="11">
        <v>7.7167374244791101E-2</v>
      </c>
      <c r="D79" s="11">
        <v>0</v>
      </c>
      <c r="E79" s="11">
        <v>-0.17975212778028701</v>
      </c>
      <c r="F79" s="11">
        <v>2.6636573421685999E-2</v>
      </c>
      <c r="G79" s="11">
        <v>-0.25212058361082401</v>
      </c>
      <c r="H79" s="11">
        <v>4.5731882408850698E-2</v>
      </c>
      <c r="I79" s="12">
        <v>0</v>
      </c>
      <c r="K79" s="21">
        <f>1+(G79/100)</f>
        <v>0.99747879416389174</v>
      </c>
      <c r="L79" s="20">
        <f t="shared" si="3"/>
        <v>0.99936910174313565</v>
      </c>
      <c r="M79" s="22">
        <f t="shared" si="4"/>
        <v>0.99919412192380985</v>
      </c>
      <c r="N79" s="23">
        <f t="shared" si="5"/>
        <v>-8.058780761901474E-2</v>
      </c>
    </row>
    <row r="80" spans="1:14" x14ac:dyDescent="0.35">
      <c r="A80" s="4">
        <v>2019</v>
      </c>
      <c r="B80" s="11" t="s">
        <v>10</v>
      </c>
      <c r="C80" s="11">
        <v>0.29475422233791998</v>
      </c>
      <c r="D80" s="11">
        <v>0</v>
      </c>
      <c r="E80" s="11">
        <v>0.74956406203849102</v>
      </c>
      <c r="F80" s="11">
        <v>-0.10493003197345201</v>
      </c>
      <c r="G80" s="11">
        <v>0.72402192975673996</v>
      </c>
      <c r="H80" s="11">
        <v>0.130472164255204</v>
      </c>
      <c r="I80" s="12">
        <v>0</v>
      </c>
      <c r="K80" s="21">
        <f>1+(G80/100)</f>
        <v>1.0072402192975674</v>
      </c>
      <c r="L80" s="20">
        <f t="shared" si="3"/>
        <v>1.0018051610299121</v>
      </c>
      <c r="M80" s="22">
        <f t="shared" si="4"/>
        <v>1.0016377994756629</v>
      </c>
      <c r="N80" s="23">
        <f t="shared" si="5"/>
        <v>0.16377994756628933</v>
      </c>
    </row>
    <row r="81" spans="1:14" x14ac:dyDescent="0.35">
      <c r="A81" s="4">
        <v>2019</v>
      </c>
      <c r="B81" s="11" t="s">
        <v>11</v>
      </c>
      <c r="C81" s="11">
        <v>0.40023465125282198</v>
      </c>
      <c r="D81" s="11">
        <v>0</v>
      </c>
      <c r="E81" s="11">
        <v>0.786831025847615</v>
      </c>
      <c r="F81" s="11">
        <v>0.3599483537307</v>
      </c>
      <c r="G81" s="11">
        <v>0.37233893767897103</v>
      </c>
      <c r="H81" s="11">
        <v>5.4543734437942998E-2</v>
      </c>
      <c r="I81" s="12">
        <v>0</v>
      </c>
      <c r="K81" s="21">
        <f>1+(G81/100)</f>
        <v>1.0037233893767896</v>
      </c>
      <c r="L81" s="20">
        <f t="shared" si="3"/>
        <v>1.0009295504447755</v>
      </c>
      <c r="M81" s="22">
        <f t="shared" si="4"/>
        <v>1.0021108245377015</v>
      </c>
      <c r="N81" s="23">
        <f t="shared" si="5"/>
        <v>0.21108245377015056</v>
      </c>
    </row>
    <row r="82" spans="1:14" x14ac:dyDescent="0.35">
      <c r="A82" s="4">
        <v>2019</v>
      </c>
      <c r="B82" s="11" t="s">
        <v>12</v>
      </c>
      <c r="C82" s="11">
        <v>0.51515844890458196</v>
      </c>
      <c r="D82" s="11">
        <v>0</v>
      </c>
      <c r="E82" s="11">
        <v>0.70399083551250297</v>
      </c>
      <c r="F82" s="11">
        <v>0.18670524431711499</v>
      </c>
      <c r="G82" s="11">
        <v>0.25943554355122</v>
      </c>
      <c r="H82" s="11">
        <v>0.25785004764416702</v>
      </c>
      <c r="I82" s="12">
        <v>0</v>
      </c>
      <c r="K82" s="21">
        <f>1+(G82/100)</f>
        <v>1.0025943554355121</v>
      </c>
      <c r="L82" s="20">
        <f t="shared" si="3"/>
        <v>1.0006479588108572</v>
      </c>
      <c r="M82" s="22">
        <f t="shared" si="4"/>
        <v>1.0027530867865295</v>
      </c>
      <c r="N82" s="23">
        <f t="shared" si="5"/>
        <v>0.27530867865295239</v>
      </c>
    </row>
    <row r="83" spans="1:14" x14ac:dyDescent="0.35">
      <c r="A83" s="4">
        <v>2019</v>
      </c>
      <c r="B83" s="11" t="s">
        <v>9</v>
      </c>
      <c r="C83" s="11">
        <v>0.66758304685857395</v>
      </c>
      <c r="D83" s="11">
        <v>1</v>
      </c>
      <c r="E83" s="11">
        <v>0.42994626403568098</v>
      </c>
      <c r="F83" s="11">
        <v>0.17303581509620999</v>
      </c>
      <c r="G83" s="11">
        <v>-6.3289027721193603E-2</v>
      </c>
      <c r="H83" s="11">
        <v>0.32019947666066501</v>
      </c>
      <c r="I83" s="12">
        <v>0</v>
      </c>
      <c r="K83" s="21">
        <f>1+(G83/100)</f>
        <v>0.99936710972278808</v>
      </c>
      <c r="L83" s="20">
        <f t="shared" si="3"/>
        <v>0.99984173986525526</v>
      </c>
      <c r="M83" s="22">
        <f t="shared" si="4"/>
        <v>1.003227325318681</v>
      </c>
      <c r="N83" s="23">
        <f t="shared" si="5"/>
        <v>0.32273253186809736</v>
      </c>
    </row>
    <row r="84" spans="1:14" x14ac:dyDescent="0.35">
      <c r="A84" s="4">
        <v>2020</v>
      </c>
      <c r="B84" s="11" t="s">
        <v>10</v>
      </c>
      <c r="C84" s="11">
        <v>0.59589613031970401</v>
      </c>
      <c r="D84" s="11">
        <v>1</v>
      </c>
      <c r="E84" s="11">
        <v>0.46281639588301099</v>
      </c>
      <c r="F84" s="11">
        <v>0.314540153140211</v>
      </c>
      <c r="G84" s="11">
        <v>0.13279320492673799</v>
      </c>
      <c r="H84" s="11">
        <v>1.54830378160618E-2</v>
      </c>
      <c r="I84" s="12">
        <v>0</v>
      </c>
      <c r="K84" s="21">
        <f>1+(G84/100)</f>
        <v>1.0013279320492674</v>
      </c>
      <c r="L84" s="20">
        <f t="shared" si="3"/>
        <v>1.00033181782118</v>
      </c>
      <c r="M84" s="22">
        <f t="shared" si="4"/>
        <v>1.0017518905494558</v>
      </c>
      <c r="N84" s="23">
        <f t="shared" si="5"/>
        <v>0.17518905494557924</v>
      </c>
    </row>
    <row r="85" spans="1:14" x14ac:dyDescent="0.35">
      <c r="A85" s="4">
        <v>2020</v>
      </c>
      <c r="B85" s="11" t="s">
        <v>11</v>
      </c>
      <c r="C85" s="11">
        <v>3.9185158063188501</v>
      </c>
      <c r="D85" s="11">
        <v>1</v>
      </c>
      <c r="E85" s="11">
        <v>14.077309729844201</v>
      </c>
      <c r="F85" s="11">
        <v>3.7731955153079699</v>
      </c>
      <c r="G85" s="11">
        <v>-2.5661040987716199</v>
      </c>
      <c r="H85" s="11">
        <v>12.870218313307801</v>
      </c>
      <c r="I85" s="12">
        <v>0</v>
      </c>
      <c r="K85" s="21">
        <f>1+(G85/100)</f>
        <v>0.97433895901228385</v>
      </c>
      <c r="L85" s="20">
        <f t="shared" si="3"/>
        <v>0.99352206570132351</v>
      </c>
      <c r="M85" s="22">
        <f t="shared" si="4"/>
        <v>0.99433831999129629</v>
      </c>
      <c r="N85" s="23">
        <f t="shared" si="5"/>
        <v>-0.56616800087037067</v>
      </c>
    </row>
    <row r="86" spans="1:14" x14ac:dyDescent="0.35">
      <c r="A86" s="4">
        <v>2020</v>
      </c>
      <c r="B86" s="11" t="s">
        <v>12</v>
      </c>
      <c r="C86" s="11">
        <v>4.4332204539888203</v>
      </c>
      <c r="D86" s="11">
        <v>0</v>
      </c>
      <c r="E86" s="11">
        <v>2.7628094261923799</v>
      </c>
      <c r="F86" s="11">
        <v>-1.6365467200107</v>
      </c>
      <c r="G86" s="11">
        <v>6.33300963032839E-2</v>
      </c>
      <c r="H86" s="11">
        <v>4.3360260498998002</v>
      </c>
      <c r="I86" s="12">
        <v>0</v>
      </c>
      <c r="K86" s="21">
        <f>1+(G86/100)</f>
        <v>1.0006333009630328</v>
      </c>
      <c r="L86" s="20">
        <f t="shared" si="3"/>
        <v>1.0001582876543198</v>
      </c>
      <c r="M86" s="22">
        <f t="shared" si="4"/>
        <v>0.99385173648222858</v>
      </c>
      <c r="N86" s="23">
        <f t="shared" si="5"/>
        <v>-0.6148263517771424</v>
      </c>
    </row>
    <row r="87" spans="1:14" x14ac:dyDescent="0.35">
      <c r="A87" s="4">
        <v>2020</v>
      </c>
      <c r="B87" s="11" t="s">
        <v>9</v>
      </c>
      <c r="C87" s="11">
        <v>3.4629886535852599</v>
      </c>
      <c r="D87" s="11">
        <v>0</v>
      </c>
      <c r="E87" s="11">
        <v>-3.4509809375785498</v>
      </c>
      <c r="F87" s="11">
        <v>-0.60872860583342203</v>
      </c>
      <c r="G87" s="11">
        <v>-6.7809563238561604E-2</v>
      </c>
      <c r="H87" s="11">
        <v>-2.7744427685065598</v>
      </c>
      <c r="I87" s="12">
        <v>0</v>
      </c>
      <c r="K87" s="21">
        <f>1+(G87/100)</f>
        <v>0.99932190436761437</v>
      </c>
      <c r="L87" s="20">
        <f t="shared" si="3"/>
        <v>0.99983043296731111</v>
      </c>
      <c r="M87" s="22">
        <f t="shared" si="4"/>
        <v>0.99384049732336166</v>
      </c>
      <c r="N87" s="23">
        <f t="shared" si="5"/>
        <v>-0.61595026766383398</v>
      </c>
    </row>
    <row r="88" spans="1:14" x14ac:dyDescent="0.35">
      <c r="A88" s="4">
        <v>2021</v>
      </c>
      <c r="B88" s="11" t="s">
        <v>10</v>
      </c>
      <c r="C88" s="11">
        <v>5.3037644042883301</v>
      </c>
      <c r="D88" s="11">
        <v>0</v>
      </c>
      <c r="E88" s="11">
        <v>7.8259193986952802</v>
      </c>
      <c r="F88" s="11">
        <v>1.4055155716587699</v>
      </c>
      <c r="G88" s="11">
        <v>-0.69904513903932397</v>
      </c>
      <c r="H88" s="11">
        <v>7.1194489660758302</v>
      </c>
      <c r="I88" s="12">
        <v>0</v>
      </c>
      <c r="K88" s="21">
        <f>1+(G88/100)</f>
        <v>0.99300954860960677</v>
      </c>
      <c r="L88" s="20">
        <f t="shared" si="3"/>
        <v>0.99824778715499507</v>
      </c>
      <c r="M88" s="22">
        <f t="shared" si="4"/>
        <v>0.99176999028077906</v>
      </c>
      <c r="N88" s="23">
        <f t="shared" si="5"/>
        <v>-0.82300097192209432</v>
      </c>
    </row>
    <row r="89" spans="1:14" x14ac:dyDescent="0.35">
      <c r="A89" s="4">
        <v>2021</v>
      </c>
      <c r="B89" s="11" t="s">
        <v>11</v>
      </c>
      <c r="C89" s="11">
        <v>1.18060506174299</v>
      </c>
      <c r="D89" s="11">
        <v>0</v>
      </c>
      <c r="E89" s="11">
        <v>-2.41532764033715</v>
      </c>
      <c r="F89" s="11">
        <v>-0.317781555854456</v>
      </c>
      <c r="G89" s="11">
        <v>-0.85300438217195595</v>
      </c>
      <c r="H89" s="11">
        <v>-1.2445417023107299</v>
      </c>
      <c r="I89" s="12">
        <v>0</v>
      </c>
      <c r="K89" s="21">
        <f>1+(G89/100)</f>
        <v>0.99146995617828049</v>
      </c>
      <c r="L89" s="20">
        <f t="shared" si="3"/>
        <v>0.99786063349742771</v>
      </c>
      <c r="M89" s="22">
        <f t="shared" si="4"/>
        <v>0.99610090701581633</v>
      </c>
      <c r="N89" s="23">
        <f t="shared" si="5"/>
        <v>-0.38990929841836719</v>
      </c>
    </row>
    <row r="90" spans="1:14" x14ac:dyDescent="0.35">
      <c r="A90" s="4">
        <v>2021</v>
      </c>
      <c r="B90" s="11" t="s">
        <v>12</v>
      </c>
      <c r="C90" s="11">
        <v>-0.24559362849136601</v>
      </c>
      <c r="D90" s="11">
        <v>0</v>
      </c>
      <c r="E90" s="11">
        <v>-2.94198533474506</v>
      </c>
      <c r="F90" s="11">
        <v>-0.49670611552697702</v>
      </c>
      <c r="G90" s="11">
        <v>-0.13091092806005999</v>
      </c>
      <c r="H90" s="11">
        <v>-2.3143682911580199</v>
      </c>
      <c r="I90" s="12">
        <v>0</v>
      </c>
      <c r="K90" s="21">
        <f>1+(G90/100)</f>
        <v>0.99869089071939943</v>
      </c>
      <c r="L90" s="20">
        <f t="shared" si="3"/>
        <v>0.99967256189138098</v>
      </c>
      <c r="M90" s="22">
        <f t="shared" si="4"/>
        <v>0.99561715171528387</v>
      </c>
      <c r="N90" s="23">
        <f t="shared" si="5"/>
        <v>-0.43828482847161343</v>
      </c>
    </row>
    <row r="91" spans="1:14" x14ac:dyDescent="0.35">
      <c r="A91" s="4">
        <v>2021</v>
      </c>
      <c r="B91" s="11" t="s">
        <v>9</v>
      </c>
      <c r="C91" s="11">
        <v>-0.17259749303421301</v>
      </c>
      <c r="D91" s="11">
        <v>0</v>
      </c>
      <c r="E91" s="11">
        <v>-3.1589963957499299</v>
      </c>
      <c r="F91" s="11">
        <v>0.201080872056451</v>
      </c>
      <c r="G91" s="11">
        <v>-0.60877844002819004</v>
      </c>
      <c r="H91" s="11">
        <v>-2.7512988277781898</v>
      </c>
      <c r="I91" s="12">
        <v>0</v>
      </c>
      <c r="K91" s="21">
        <f>1+(G91/100)</f>
        <v>0.9939122155997181</v>
      </c>
      <c r="L91" s="20">
        <f t="shared" si="3"/>
        <v>0.99847456702955462</v>
      </c>
      <c r="M91" s="22">
        <f t="shared" si="4"/>
        <v>0.99426699939090357</v>
      </c>
      <c r="N91" s="23">
        <f t="shared" si="5"/>
        <v>-0.57330006090964281</v>
      </c>
    </row>
    <row r="92" spans="1:14" x14ac:dyDescent="0.35">
      <c r="A92" s="4">
        <v>2022</v>
      </c>
      <c r="B92" s="11" t="s">
        <v>10</v>
      </c>
      <c r="C92" s="11">
        <v>-3.0689280632975202</v>
      </c>
      <c r="D92" s="11">
        <v>0</v>
      </c>
      <c r="E92" s="11">
        <v>-3.7594028823579499</v>
      </c>
      <c r="F92" s="11">
        <v>-0.153024200139106</v>
      </c>
      <c r="G92" s="11">
        <v>-0.71584209307394098</v>
      </c>
      <c r="H92" s="11">
        <v>-2.8905365891449</v>
      </c>
      <c r="I92" s="12">
        <v>0</v>
      </c>
      <c r="K92" s="21">
        <f>1+(G92/100)</f>
        <v>0.99284157906926063</v>
      </c>
      <c r="L92" s="20">
        <f t="shared" si="3"/>
        <v>0.99820557057731496</v>
      </c>
      <c r="M92" s="22">
        <f t="shared" si="4"/>
        <v>0.99422495116344489</v>
      </c>
      <c r="N92" s="23">
        <f t="shared" si="5"/>
        <v>-0.57750488365551078</v>
      </c>
    </row>
    <row r="93" spans="1:14" x14ac:dyDescent="0.35">
      <c r="A93" s="4">
        <v>2022</v>
      </c>
      <c r="B93" s="11" t="s">
        <v>11</v>
      </c>
      <c r="C93" s="11">
        <v>-3.58941185667861</v>
      </c>
      <c r="D93" s="11">
        <v>0</v>
      </c>
      <c r="E93" s="11">
        <v>-4.4972628138614903</v>
      </c>
      <c r="F93" s="11">
        <v>0.39208452759614498</v>
      </c>
      <c r="G93" s="11">
        <v>-1.06685859542813</v>
      </c>
      <c r="H93" s="11">
        <v>-3.8224887460295101</v>
      </c>
      <c r="I93" s="12">
        <v>0</v>
      </c>
      <c r="K93" s="21">
        <f>1+(G93/100)</f>
        <v>0.98933141404571867</v>
      </c>
      <c r="L93" s="20">
        <f t="shared" si="3"/>
        <v>0.99732211610864197</v>
      </c>
      <c r="M93" s="22">
        <f t="shared" si="4"/>
        <v>0.99368839585041513</v>
      </c>
      <c r="N93" s="23">
        <f t="shared" si="5"/>
        <v>-0.63116041495848707</v>
      </c>
    </row>
    <row r="94" spans="1:14" x14ac:dyDescent="0.35">
      <c r="A94" s="4">
        <v>2022</v>
      </c>
      <c r="B94" s="11" t="s">
        <v>12</v>
      </c>
      <c r="C94" s="11">
        <v>-3.3954952565077599</v>
      </c>
      <c r="D94" s="11">
        <v>0</v>
      </c>
      <c r="E94" s="11">
        <v>-2.16631893406166</v>
      </c>
      <c r="F94" s="11">
        <v>-0.33157498620227999</v>
      </c>
      <c r="G94" s="11">
        <v>0.50567063137221702</v>
      </c>
      <c r="H94" s="11">
        <v>-2.3404145792316</v>
      </c>
      <c r="I94" s="12">
        <v>0</v>
      </c>
      <c r="K94" s="21">
        <f>1+(G94/100)</f>
        <v>1.0050567063137221</v>
      </c>
      <c r="L94" s="20">
        <f t="shared" si="3"/>
        <v>1.0012617864114781</v>
      </c>
      <c r="M94" s="22">
        <f t="shared" si="4"/>
        <v>0.99526810707209123</v>
      </c>
      <c r="N94" s="23">
        <f t="shared" si="5"/>
        <v>-0.47318929279087651</v>
      </c>
    </row>
    <row r="95" spans="1:14" x14ac:dyDescent="0.35">
      <c r="A95" s="4">
        <v>2022</v>
      </c>
      <c r="B95" s="11" t="s">
        <v>9</v>
      </c>
      <c r="C95" s="11">
        <v>-2.7242794351025101</v>
      </c>
      <c r="D95" s="11">
        <v>0</v>
      </c>
      <c r="E95" s="11">
        <v>-0.47413311012896803</v>
      </c>
      <c r="F95" s="11">
        <v>-0.22982047581301801</v>
      </c>
      <c r="G95" s="11">
        <v>0.83451831263750098</v>
      </c>
      <c r="H95" s="11">
        <v>-1.0788309469534501</v>
      </c>
      <c r="I95" s="12">
        <v>0</v>
      </c>
      <c r="K95" s="21">
        <f>1+(G95/100)</f>
        <v>1.008345183126375</v>
      </c>
      <c r="L95" s="20">
        <f t="shared" si="3"/>
        <v>1.0020797984383041</v>
      </c>
      <c r="M95" s="22">
        <f t="shared" si="4"/>
        <v>0.99886176078969913</v>
      </c>
      <c r="N95" s="23">
        <f t="shared" si="5"/>
        <v>-0.11382392103008732</v>
      </c>
    </row>
    <row r="96" spans="1:14" x14ac:dyDescent="0.35">
      <c r="A96" s="4">
        <v>2023</v>
      </c>
      <c r="B96" s="11" t="s">
        <v>10</v>
      </c>
      <c r="C96" s="11">
        <v>-1.74151655974717</v>
      </c>
      <c r="D96" s="11">
        <v>0</v>
      </c>
      <c r="E96" s="11">
        <v>0.171648619063415</v>
      </c>
      <c r="F96" s="11">
        <v>9.9264345423993705E-2</v>
      </c>
      <c r="G96" s="11">
        <v>0.42751576003567898</v>
      </c>
      <c r="H96" s="11">
        <v>-0.35513148639625802</v>
      </c>
      <c r="I96" s="12">
        <v>0</v>
      </c>
      <c r="K96" s="21">
        <f>1+(G96/100)</f>
        <v>1.0042751576003568</v>
      </c>
      <c r="L96" s="20">
        <f t="shared" si="3"/>
        <v>1.0010670801945112</v>
      </c>
      <c r="M96" s="22">
        <f t="shared" si="4"/>
        <v>1.0017251514769465</v>
      </c>
      <c r="N96" s="23">
        <f t="shared" si="5"/>
        <v>0.17251514769465182</v>
      </c>
    </row>
    <row r="97" spans="1:14" x14ac:dyDescent="0.35">
      <c r="A97" s="4">
        <v>2023</v>
      </c>
      <c r="B97" s="11" t="s">
        <v>11</v>
      </c>
      <c r="C97" s="11">
        <v>-0.702550421067766</v>
      </c>
      <c r="D97" s="11">
        <v>0</v>
      </c>
      <c r="E97" s="11">
        <v>-0.34139825914385602</v>
      </c>
      <c r="F97" s="11">
        <v>-0.17528575942900099</v>
      </c>
      <c r="G97" s="11">
        <v>0.43635109843842701</v>
      </c>
      <c r="H97" s="11">
        <v>-0.60246359815328199</v>
      </c>
      <c r="I97" s="12">
        <v>0</v>
      </c>
      <c r="K97" s="21">
        <f>1+(G97/100)</f>
        <v>1.0043635109843843</v>
      </c>
      <c r="L97" s="20">
        <f t="shared" si="3"/>
        <v>1.0010890972546851</v>
      </c>
      <c r="M97" s="22">
        <f t="shared" si="4"/>
        <v>1.0055087633092541</v>
      </c>
      <c r="N97" s="23">
        <f t="shared" si="5"/>
        <v>0.55087633092540944</v>
      </c>
    </row>
    <row r="98" spans="1:14" x14ac:dyDescent="0.35">
      <c r="A98" s="4">
        <v>2023</v>
      </c>
      <c r="B98" s="11" t="s">
        <v>12</v>
      </c>
      <c r="C98" s="11">
        <v>-5.5899435742316997E-2</v>
      </c>
      <c r="D98" s="11">
        <v>0</v>
      </c>
      <c r="E98" s="11">
        <v>0.42028500724013401</v>
      </c>
      <c r="F98" s="11">
        <v>-6.3071621280023603E-3</v>
      </c>
      <c r="G98" s="11">
        <v>0.68495228235059902</v>
      </c>
      <c r="H98" s="11">
        <v>-0.25836011298246198</v>
      </c>
      <c r="I98" s="12">
        <v>0</v>
      </c>
      <c r="K98" s="21">
        <f>1+(G98/100)</f>
        <v>1.0068495228235059</v>
      </c>
      <c r="L98" s="20">
        <f t="shared" si="3"/>
        <v>1.0017079998259553</v>
      </c>
      <c r="M98" s="22">
        <f t="shared" si="4"/>
        <v>1.0059568693936489</v>
      </c>
      <c r="N98" s="23">
        <f t="shared" si="5"/>
        <v>0.59568693936489225</v>
      </c>
    </row>
    <row r="99" spans="1:14" x14ac:dyDescent="0.35">
      <c r="A99" s="4">
        <v>2023</v>
      </c>
      <c r="B99" s="11" t="s">
        <v>9</v>
      </c>
      <c r="C99" s="11">
        <v>-7.2133898586217403E-3</v>
      </c>
      <c r="D99" s="11">
        <v>0</v>
      </c>
      <c r="E99" s="11">
        <v>-0.27938892659418701</v>
      </c>
      <c r="F99" s="11">
        <v>-0.141618188518052</v>
      </c>
      <c r="G99" s="11">
        <v>3.1925153474775599E-2</v>
      </c>
      <c r="H99" s="11">
        <v>-0.169695891550911</v>
      </c>
      <c r="I99" s="12">
        <v>1</v>
      </c>
      <c r="K99" s="21">
        <f>1+(G99/100)</f>
        <v>1.0003192515347477</v>
      </c>
      <c r="L99" s="20">
        <f t="shared" si="3"/>
        <v>1.0000798033303213</v>
      </c>
      <c r="M99" s="22">
        <f t="shared" si="4"/>
        <v>1.0039491362562636</v>
      </c>
      <c r="N99" s="23">
        <f t="shared" si="5"/>
        <v>0.39491362562635857</v>
      </c>
    </row>
    <row r="100" spans="1:14" x14ac:dyDescent="0.35">
      <c r="A100" s="4">
        <v>2024</v>
      </c>
      <c r="B100" s="11" t="s">
        <v>10</v>
      </c>
      <c r="C100" s="11">
        <v>-0.22295042337320101</v>
      </c>
      <c r="D100" s="11">
        <v>0</v>
      </c>
      <c r="E100" s="11">
        <v>-0.69129951499490105</v>
      </c>
      <c r="F100" s="11">
        <v>-0.37535811712987899</v>
      </c>
      <c r="G100" s="11">
        <v>0.21618810454764201</v>
      </c>
      <c r="H100" s="11">
        <v>-0.53212950241266499</v>
      </c>
      <c r="I100" s="12">
        <v>1</v>
      </c>
      <c r="K100" s="21">
        <f>1+(G100/100)</f>
        <v>1.0021618810454764</v>
      </c>
      <c r="L100" s="20">
        <f t="shared" si="3"/>
        <v>1.000540032650959</v>
      </c>
      <c r="M100" s="22">
        <f t="shared" si="4"/>
        <v>1.00342057135129</v>
      </c>
      <c r="N100" s="23">
        <f t="shared" si="5"/>
        <v>0.3420571351290036</v>
      </c>
    </row>
    <row r="101" spans="1:14" x14ac:dyDescent="0.35">
      <c r="A101" s="4">
        <v>2024</v>
      </c>
      <c r="B101" s="11" t="s">
        <v>11</v>
      </c>
      <c r="C101" s="11">
        <v>-0.27374578192351101</v>
      </c>
      <c r="D101" s="11">
        <v>0</v>
      </c>
      <c r="E101" s="11">
        <v>-0.54457969334509604</v>
      </c>
      <c r="F101" s="11">
        <v>-0.38916817011903299</v>
      </c>
      <c r="G101" s="11">
        <v>0.30621979647443198</v>
      </c>
      <c r="H101" s="11">
        <v>-0.46163131970049498</v>
      </c>
      <c r="I101" s="12">
        <v>1</v>
      </c>
      <c r="K101" s="21">
        <f>1+(G101/100)</f>
        <v>1.0030621979647443</v>
      </c>
      <c r="L101" s="20">
        <f t="shared" si="3"/>
        <v>1.0007646719591714</v>
      </c>
      <c r="M101" s="22">
        <f t="shared" si="4"/>
        <v>1.0030953904894888</v>
      </c>
      <c r="N101" s="23">
        <f t="shared" si="5"/>
        <v>0.3095390489488814</v>
      </c>
    </row>
    <row r="102" spans="1:14" x14ac:dyDescent="0.35">
      <c r="A102" s="4">
        <v>2024</v>
      </c>
      <c r="B102" s="11" t="s">
        <v>12</v>
      </c>
      <c r="C102" s="11">
        <v>-0.531769595116383</v>
      </c>
      <c r="D102" s="11">
        <v>0</v>
      </c>
      <c r="E102" s="11">
        <v>-0.61181024553135299</v>
      </c>
      <c r="F102" s="11">
        <v>-0.10231351688205299</v>
      </c>
      <c r="G102" s="11">
        <v>-6.2831680542070195E-2</v>
      </c>
      <c r="H102" s="11">
        <v>-0.44666504810722901</v>
      </c>
      <c r="I102" s="12">
        <v>1</v>
      </c>
      <c r="K102" s="21">
        <f>1+(G102/100)</f>
        <v>0.99937168319457925</v>
      </c>
      <c r="L102" s="20">
        <f t="shared" si="3"/>
        <v>0.99984288377426056</v>
      </c>
      <c r="M102" s="22">
        <f t="shared" si="4"/>
        <v>1.0012276912053582</v>
      </c>
      <c r="N102" s="23">
        <f t="shared" si="5"/>
        <v>0.12276912053581501</v>
      </c>
    </row>
    <row r="103" spans="1:14" x14ac:dyDescent="0.35">
      <c r="A103" s="4">
        <v>2024</v>
      </c>
      <c r="B103" s="11" t="s">
        <v>9</v>
      </c>
      <c r="C103" s="11">
        <v>-0.55080220100126798</v>
      </c>
      <c r="D103" s="11">
        <v>0</v>
      </c>
      <c r="E103" s="11">
        <v>-0.35551935013372699</v>
      </c>
      <c r="F103" s="11">
        <v>-9.1827688470256699E-2</v>
      </c>
      <c r="G103" s="11">
        <v>-0.10883967794485901</v>
      </c>
      <c r="H103" s="11">
        <v>-0.154851983718611</v>
      </c>
      <c r="I103" s="12">
        <v>1</v>
      </c>
      <c r="K103" s="21">
        <f>1+(G103/100)</f>
        <v>0.99891160322055139</v>
      </c>
      <c r="L103" s="20">
        <f t="shared" si="3"/>
        <v>0.99972778967761744</v>
      </c>
      <c r="M103" s="22">
        <f t="shared" si="4"/>
        <v>1.0008752735126942</v>
      </c>
      <c r="N103" s="23">
        <f t="shared" si="5"/>
        <v>8.7527351269423015E-2</v>
      </c>
    </row>
    <row r="104" spans="1:14" x14ac:dyDescent="0.35">
      <c r="A104" s="4">
        <v>2025</v>
      </c>
      <c r="B104" s="11" t="s">
        <v>10</v>
      </c>
      <c r="C104" s="11">
        <v>-0.51664480149207104</v>
      </c>
      <c r="D104" s="11">
        <v>0</v>
      </c>
      <c r="E104" s="11">
        <v>-0.55466991695811596</v>
      </c>
      <c r="F104" s="11">
        <v>-0.41932639728829002</v>
      </c>
      <c r="G104" s="11">
        <v>0.20841338399404799</v>
      </c>
      <c r="H104" s="11">
        <v>-0.34375690366387401</v>
      </c>
      <c r="I104" s="12">
        <v>1</v>
      </c>
      <c r="K104" s="21">
        <f>1+(G104/100)</f>
        <v>1.0020841338399404</v>
      </c>
      <c r="L104" s="20">
        <f t="shared" si="3"/>
        <v>1.0005206267405453</v>
      </c>
      <c r="M104" s="22">
        <f t="shared" si="4"/>
        <v>1.0008558611001377</v>
      </c>
      <c r="N104" s="23">
        <f t="shared" si="5"/>
        <v>8.5586110013768923E-2</v>
      </c>
    </row>
    <row r="105" spans="1:14" x14ac:dyDescent="0.35">
      <c r="A105" s="4">
        <v>2025</v>
      </c>
      <c r="B105" s="11" t="s">
        <v>11</v>
      </c>
      <c r="C105" s="11">
        <v>-0.48819237305725199</v>
      </c>
      <c r="D105" s="11">
        <v>0</v>
      </c>
      <c r="E105" s="11">
        <v>-0.43076997960581798</v>
      </c>
      <c r="F105" s="11">
        <v>-0.28322351355179998</v>
      </c>
      <c r="G105" s="11">
        <v>8.8637252988021706E-2</v>
      </c>
      <c r="H105" s="11">
        <v>-0.23618371904204</v>
      </c>
      <c r="I105" s="12">
        <v>1</v>
      </c>
      <c r="K105" s="21">
        <f>1+(G105/100)</f>
        <v>1.0008863725298802</v>
      </c>
      <c r="L105" s="20">
        <f t="shared" si="3"/>
        <v>1.0002215195152557</v>
      </c>
      <c r="M105" s="22">
        <f t="shared" si="4"/>
        <v>1.0003126591644622</v>
      </c>
      <c r="N105" s="23">
        <f t="shared" si="5"/>
        <v>3.1265916446221453E-2</v>
      </c>
    </row>
    <row r="106" spans="1:14" x14ac:dyDescent="0.35">
      <c r="A106" s="6">
        <v>2025</v>
      </c>
      <c r="B106" s="14" t="s">
        <v>12</v>
      </c>
      <c r="C106" s="14">
        <v>-0.37815681416459901</v>
      </c>
      <c r="D106" s="14">
        <v>0</v>
      </c>
      <c r="E106" s="14">
        <v>-0.17166800996074399</v>
      </c>
      <c r="F106" s="14">
        <v>-0.12248027925521</v>
      </c>
      <c r="G106" s="14">
        <v>-6.8910312955258707E-2</v>
      </c>
      <c r="H106" s="14">
        <v>1.9722582249724899E-2</v>
      </c>
      <c r="I106" s="15">
        <v>1</v>
      </c>
      <c r="K106" s="24">
        <f>1+(G106/100)</f>
        <v>0.99931089687044738</v>
      </c>
      <c r="L106" s="25">
        <f t="shared" si="3"/>
        <v>0.99982767968129016</v>
      </c>
      <c r="M106" s="26">
        <f t="shared" si="4"/>
        <v>1.0002974479278608</v>
      </c>
      <c r="N106" s="27">
        <f t="shared" si="5"/>
        <v>2.9744792786079444E-2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interactive-12-2023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Lorae Stojanovic</dc:creator>
  <cp:lastModifiedBy>Lorae Stojanovic</cp:lastModifiedBy>
  <dcterms:created xsi:type="dcterms:W3CDTF">2024-02-03T01:42:29Z</dcterms:created>
  <dcterms:modified xsi:type="dcterms:W3CDTF">2024-02-03T02:02:09Z</dcterms:modified>
</cp:coreProperties>
</file>