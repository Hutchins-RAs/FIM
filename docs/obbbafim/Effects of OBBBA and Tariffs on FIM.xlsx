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ingsinstitution-my.sharepoint.com/personal/sahmad_brookings_edu/Documents/"/>
    </mc:Choice>
  </mc:AlternateContent>
  <xr:revisionPtr revIDLastSave="54" documentId="8_{A4F5FBC4-6C59-4563-A094-863C1F623D56}" xr6:coauthVersionLast="47" xr6:coauthVersionMax="47" xr10:uidLastSave="{F962A876-024F-45DA-A3C7-1684ACEA0178}"/>
  <bookViews>
    <workbookView xWindow="28680" yWindow="-120" windowWidth="29040" windowHeight="15720" xr2:uid="{72AE769E-C51D-4F87-9971-970B5B886A6C}"/>
  </bookViews>
  <sheets>
    <sheet name="Sheet1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D11" i="2"/>
  <c r="J10" i="2"/>
  <c r="D10" i="2"/>
  <c r="J9" i="2"/>
  <c r="D9" i="2"/>
  <c r="J8" i="2"/>
  <c r="D8" i="2"/>
  <c r="J7" i="2"/>
  <c r="D7" i="2"/>
  <c r="J6" i="2"/>
  <c r="K9" i="2" s="1"/>
  <c r="D6" i="2"/>
  <c r="E9" i="2" s="1"/>
  <c r="K5" i="2"/>
  <c r="J5" i="2"/>
  <c r="D5" i="2"/>
  <c r="J4" i="2"/>
  <c r="D4" i="2"/>
  <c r="J3" i="2"/>
  <c r="D3" i="2"/>
  <c r="E5" i="2" s="1"/>
  <c r="J12" i="1" l="1"/>
  <c r="J11" i="1"/>
  <c r="J10" i="1"/>
  <c r="J9" i="1"/>
  <c r="J8" i="1"/>
  <c r="J7" i="1"/>
  <c r="K10" i="1" s="1"/>
  <c r="J6" i="1"/>
  <c r="J5" i="1"/>
  <c r="J4" i="1"/>
  <c r="K6" i="1" s="1"/>
  <c r="D5" i="1"/>
  <c r="D6" i="1"/>
  <c r="D7" i="1"/>
  <c r="E10" i="1" s="1"/>
  <c r="D8" i="1"/>
  <c r="D9" i="1"/>
  <c r="D10" i="1"/>
  <c r="D11" i="1"/>
  <c r="D12" i="1"/>
  <c r="D4" i="1"/>
  <c r="E6" i="1" l="1"/>
</calcChain>
</file>

<file path=xl/sharedStrings.xml><?xml version="1.0" encoding="utf-8"?>
<sst xmlns="http://schemas.openxmlformats.org/spreadsheetml/2006/main" count="49" uniqueCount="18">
  <si>
    <t>Effects of OBBBA</t>
  </si>
  <si>
    <t>Current FIM</t>
  </si>
  <si>
    <t>Current FIM without OBBBA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</si>
  <si>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</si>
  <si>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</si>
  <si>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</si>
  <si>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</si>
  <si>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</si>
  <si>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</si>
  <si>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</si>
  <si>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</si>
  <si>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</si>
  <si>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Effects of Tariffs</t>
  </si>
  <si>
    <t>Current FIM without tariffs</t>
  </si>
  <si>
    <t>new fim</t>
  </si>
  <si>
    <t>pre changes FIM</t>
  </si>
  <si>
    <t>post changes FIM</t>
  </si>
  <si>
    <t>post changes FIM without OBBBA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</si>
</sst>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1133475</xdr:colOff>
      <xdr:row>13</xdr:row>
      <xdr:rowOff>9525</xdr:rowOff>
    </xdr:from>
    <xdr:to>
      <xdr:col>7</xdr:col>
      <xdr:colOff>915599</xdr:colOff>
      <xdr:row>22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A3387-69AC-36AB-2091-F6359B20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2362200"/>
          <a:ext cx="4249349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ED45-85A7-46EB-BA6E-79FB059E10A9}">
  <dimension ref="A2:K12"/>
  <sheetViews>
    <sheetView tabSelected="1" workbookViewId="0">
      <selection activeCell="J16" sqref="J16"/>
    </sheetView>
  </sheetViews>
  <sheetFormatPr defaultRowHeight="14.5" x14ac:dyDescent="0.35"/>
  <cols>
    <col min="2" max="2" width="15.6328125" bestFit="1" customWidth="1"/>
    <col min="3" max="3" width="29" bestFit="1" customWidth="1"/>
    <col min="8" max="8" width="14.26953125" bestFit="1" customWidth="1"/>
    <col min="9" max="9" width="22.90625" bestFit="1" customWidth="1"/>
  </cols>
  <sheetData>
    <row r="2" spans="1:11" x14ac:dyDescent="0.35">
      <c r="B2" t="s">
        <v>0</v>
      </c>
      <c r="H2" t="s">
        <v>12</v>
      </c>
    </row>
    <row r="3" spans="1:11" x14ac:dyDescent="0.35">
      <c r="B3" t="s">
        <v>16</v>
      </c>
      <c r="C3" t="s">
        <v>17</v>
      </c>
      <c r="D3">
        <v>0</v>
      </c>
      <c r="H3" t="s">
        <v>15</v>
      </c>
      <c r="I3" t="s">
        <v>13</v>
      </c>
      <c r="J3">
        <v>0</v>
      </c>
    </row>
    <row r="4" spans="1:11" x14ac:dyDescent="0.35">
      <c r="A4" t="s">
        <v>3</v>
      </c>
      <c r="B4">
        <v>-0.244775494829167</v>
      </c>
      <c r="C4">
        <v>-0.244775494829167</v>
      </c>
      <c r="D4" s="1">
        <f>B4-C4</f>
        <v>0</v>
      </c>
      <c r="G4" t="s">
        <v>3</v>
      </c>
      <c r="H4">
        <v>-0.244775494829167</v>
      </c>
      <c r="I4">
        <v>0.33197847476803399</v>
      </c>
      <c r="J4" s="1">
        <f>H4-I4</f>
        <v>-0.57675396959720104</v>
      </c>
    </row>
    <row r="5" spans="1:11" x14ac:dyDescent="0.35">
      <c r="A5" t="s">
        <v>4</v>
      </c>
      <c r="B5">
        <v>-3.1870410854322899E-2</v>
      </c>
      <c r="C5">
        <v>-0.63174749440781597</v>
      </c>
      <c r="D5" s="1">
        <f t="shared" ref="D5:D12" si="0">B5-C5</f>
        <v>0.59987708355349312</v>
      </c>
      <c r="G5" t="s">
        <v>4</v>
      </c>
      <c r="H5">
        <v>-0.226791216752876</v>
      </c>
      <c r="I5">
        <v>0.525755130286928</v>
      </c>
      <c r="J5" s="1">
        <f t="shared" ref="J5:J12" si="1">H5-I5</f>
        <v>-0.75254634703980394</v>
      </c>
    </row>
    <row r="6" spans="1:11" x14ac:dyDescent="0.35">
      <c r="A6" t="s">
        <v>5</v>
      </c>
      <c r="B6">
        <v>-0.36819629744312399</v>
      </c>
      <c r="C6">
        <v>-0.636815535393918</v>
      </c>
      <c r="D6" s="1">
        <f t="shared" si="0"/>
        <v>0.26861923795079401</v>
      </c>
      <c r="E6" s="2">
        <f>AVERAGE(D3:D6)</f>
        <v>0.21712408037607178</v>
      </c>
      <c r="G6" t="s">
        <v>5</v>
      </c>
      <c r="H6">
        <v>-0.45121728224805602</v>
      </c>
      <c r="I6">
        <v>0.249125039387324</v>
      </c>
      <c r="J6" s="1">
        <f t="shared" si="1"/>
        <v>-0.70034232163538002</v>
      </c>
      <c r="K6" s="2">
        <f>AVERAGE(J3:J6)</f>
        <v>-0.50741065956809628</v>
      </c>
    </row>
    <row r="7" spans="1:11" x14ac:dyDescent="0.35">
      <c r="A7" t="s">
        <v>6</v>
      </c>
      <c r="B7">
        <v>0.17754835712912601</v>
      </c>
      <c r="C7">
        <v>-0.39726104363963799</v>
      </c>
      <c r="D7" s="1">
        <f t="shared" si="0"/>
        <v>0.57480940076876397</v>
      </c>
      <c r="G7" t="s">
        <v>6</v>
      </c>
      <c r="H7">
        <v>9.0269397362426701E-2</v>
      </c>
      <c r="I7">
        <v>0.69634154085671796</v>
      </c>
      <c r="J7" s="1">
        <f t="shared" si="1"/>
        <v>-0.60607214349429128</v>
      </c>
    </row>
    <row r="8" spans="1:11" x14ac:dyDescent="0.35">
      <c r="A8" t="s">
        <v>7</v>
      </c>
      <c r="B8">
        <v>-0.31455667513132601</v>
      </c>
      <c r="C8">
        <v>-0.61620086401956298</v>
      </c>
      <c r="D8" s="1">
        <f t="shared" si="0"/>
        <v>0.30164418888823696</v>
      </c>
      <c r="G8" t="s">
        <v>7</v>
      </c>
      <c r="H8">
        <v>-0.39836256599206799</v>
      </c>
      <c r="I8">
        <v>6.1105326298112397E-2</v>
      </c>
      <c r="J8" s="1">
        <f t="shared" si="1"/>
        <v>-0.45946789229018037</v>
      </c>
    </row>
    <row r="9" spans="1:11" x14ac:dyDescent="0.35">
      <c r="A9" t="s">
        <v>8</v>
      </c>
      <c r="B9">
        <v>-0.45348329348996502</v>
      </c>
      <c r="C9">
        <v>-0.70514836863867703</v>
      </c>
      <c r="D9" s="1">
        <f t="shared" si="0"/>
        <v>0.251665075148712</v>
      </c>
      <c r="G9" t="s">
        <v>8</v>
      </c>
      <c r="H9">
        <v>-0.54427302977775105</v>
      </c>
      <c r="I9">
        <v>-8.8692667153502699E-2</v>
      </c>
      <c r="J9" s="1">
        <f t="shared" si="1"/>
        <v>-0.45558036262424834</v>
      </c>
    </row>
    <row r="10" spans="1:11" x14ac:dyDescent="0.35">
      <c r="A10" t="s">
        <v>9</v>
      </c>
      <c r="B10">
        <v>-0.61858704819056198</v>
      </c>
      <c r="C10">
        <v>-0.74390338613849005</v>
      </c>
      <c r="D10" s="1">
        <f t="shared" si="0"/>
        <v>0.12531633794792807</v>
      </c>
      <c r="E10" s="2">
        <f>AVERAGE(D7:D10)</f>
        <v>0.31335875068841024</v>
      </c>
      <c r="G10" t="s">
        <v>9</v>
      </c>
      <c r="H10">
        <v>-0.70577816924638603</v>
      </c>
      <c r="I10">
        <v>-0.250167625586043</v>
      </c>
      <c r="J10" s="1">
        <f t="shared" si="1"/>
        <v>-0.45561054366034304</v>
      </c>
      <c r="K10" s="2">
        <f>AVERAGE(J7:J10)</f>
        <v>-0.49418273551726577</v>
      </c>
    </row>
    <row r="11" spans="1:11" x14ac:dyDescent="0.35">
      <c r="A11" t="s">
        <v>10</v>
      </c>
      <c r="B11">
        <v>-0.75821772384533004</v>
      </c>
      <c r="C11">
        <v>-0.91920788137606502</v>
      </c>
      <c r="D11" s="1">
        <f t="shared" si="0"/>
        <v>0.16099015753073498</v>
      </c>
      <c r="G11" t="s">
        <v>10</v>
      </c>
      <c r="H11">
        <v>-0.83175475601170401</v>
      </c>
      <c r="I11">
        <v>-0.47588569551266702</v>
      </c>
      <c r="J11" s="1">
        <f t="shared" si="1"/>
        <v>-0.35586906049903699</v>
      </c>
    </row>
    <row r="12" spans="1:11" x14ac:dyDescent="0.35">
      <c r="A12" t="s">
        <v>11</v>
      </c>
      <c r="B12">
        <v>-0.639050241881712</v>
      </c>
      <c r="C12">
        <v>-0.79631874955508197</v>
      </c>
      <c r="D12" s="1">
        <f t="shared" si="0"/>
        <v>0.15726850767336997</v>
      </c>
      <c r="G12" t="s">
        <v>11</v>
      </c>
      <c r="H12">
        <v>-0.71228889011569096</v>
      </c>
      <c r="I12">
        <v>-0.48792538425603699</v>
      </c>
      <c r="J12" s="1">
        <f t="shared" si="1"/>
        <v>-0.22436350585965398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0D0E-CC33-414C-9F13-F76C8260EA91}">
  <dimension ref="A1:K14"/>
  <sheetViews>
    <sheetView workbookViewId="0">
      <selection activeCell="D3" sqref="D3"/>
    </sheetView>
  </sheetViews>
  <sheetFormatPr defaultRowHeight="14.5" x14ac:dyDescent="0.35"/>
  <cols>
    <col min="2" max="2" width="14.7265625" bestFit="1" customWidth="1"/>
    <col min="3" max="3" width="23.7265625" bestFit="1" customWidth="1"/>
    <col min="8" max="8" width="14.26953125" bestFit="1" customWidth="1"/>
    <col min="9" max="9" width="22.90625" bestFit="1" customWidth="1"/>
  </cols>
  <sheetData>
    <row r="1" spans="1:11" x14ac:dyDescent="0.35">
      <c r="B1" t="s">
        <v>0</v>
      </c>
      <c r="H1" t="s">
        <v>12</v>
      </c>
    </row>
    <row r="2" spans="1:11" x14ac:dyDescent="0.35">
      <c r="B2" t="s">
        <v>1</v>
      </c>
      <c r="C2" t="s">
        <v>2</v>
      </c>
      <c r="D2">
        <v>0</v>
      </c>
      <c r="H2" t="s">
        <v>1</v>
      </c>
      <c r="I2" t="s">
        <v>13</v>
      </c>
      <c r="J2">
        <v>0</v>
      </c>
    </row>
    <row r="3" spans="1:11" x14ac:dyDescent="0.35">
      <c r="A3" t="s">
        <v>3</v>
      </c>
      <c r="B3">
        <v>3.1978474768033997E-2</v>
      </c>
      <c r="C3">
        <v>-0.24</v>
      </c>
      <c r="D3" s="1">
        <f>B3-C3</f>
        <v>0.271978474768034</v>
      </c>
      <c r="G3" t="s">
        <v>3</v>
      </c>
      <c r="H3">
        <v>3.1978474768033997E-2</v>
      </c>
      <c r="I3">
        <v>0.33197847476803399</v>
      </c>
      <c r="J3" s="1">
        <f>H3-I3</f>
        <v>-0.3</v>
      </c>
    </row>
    <row r="4" spans="1:11" x14ac:dyDescent="0.35">
      <c r="A4" t="s">
        <v>4</v>
      </c>
      <c r="B4">
        <v>0.26493022087831197</v>
      </c>
      <c r="C4">
        <v>-0.63</v>
      </c>
      <c r="D4" s="1">
        <f t="shared" ref="D4:D11" si="0">B4-C4</f>
        <v>0.89493022087831198</v>
      </c>
      <c r="G4" t="s">
        <v>4</v>
      </c>
      <c r="H4">
        <v>0.26493022087831197</v>
      </c>
      <c r="I4">
        <v>0.525755130286928</v>
      </c>
      <c r="J4" s="1">
        <f t="shared" ref="J4:J11" si="1">H4-I4</f>
        <v>-0.26082490940861602</v>
      </c>
    </row>
    <row r="5" spans="1:11" x14ac:dyDescent="0.35">
      <c r="A5" t="s">
        <v>5</v>
      </c>
      <c r="B5">
        <v>-0.20744973494473601</v>
      </c>
      <c r="C5">
        <v>-0.65</v>
      </c>
      <c r="D5" s="1">
        <f t="shared" si="0"/>
        <v>0.44255026505526401</v>
      </c>
      <c r="E5" s="1">
        <f>AVERAGE(D2:D5)</f>
        <v>0.40236474017540247</v>
      </c>
      <c r="G5" t="s">
        <v>5</v>
      </c>
      <c r="H5">
        <v>-0.20744973494473601</v>
      </c>
      <c r="I5">
        <v>0.249125039387324</v>
      </c>
      <c r="J5" s="1">
        <f t="shared" si="1"/>
        <v>-0.45657477433206001</v>
      </c>
      <c r="K5" s="1">
        <f>AVERAGE(J2:J5)</f>
        <v>-0.254349920935169</v>
      </c>
    </row>
    <row r="6" spans="1:11" x14ac:dyDescent="0.35">
      <c r="A6" t="s">
        <v>6</v>
      </c>
      <c r="B6">
        <v>0.47607361294494899</v>
      </c>
      <c r="C6">
        <v>-0.41</v>
      </c>
      <c r="D6" s="1">
        <f t="shared" si="0"/>
        <v>0.88607361294494891</v>
      </c>
      <c r="G6" t="s">
        <v>6</v>
      </c>
      <c r="H6">
        <v>0.47607361294494899</v>
      </c>
      <c r="I6">
        <v>0.69634154085671796</v>
      </c>
      <c r="J6" s="1">
        <f t="shared" si="1"/>
        <v>-0.22026792791176897</v>
      </c>
    </row>
    <row r="7" spans="1:11" x14ac:dyDescent="0.35">
      <c r="A7" t="s">
        <v>7</v>
      </c>
      <c r="B7">
        <v>-0.115982217402605</v>
      </c>
      <c r="C7">
        <v>-0.63</v>
      </c>
      <c r="D7" s="1">
        <f t="shared" si="0"/>
        <v>0.51401778259739506</v>
      </c>
      <c r="G7" t="s">
        <v>7</v>
      </c>
      <c r="H7">
        <v>-0.115982217402605</v>
      </c>
      <c r="I7">
        <v>6.1105326298112397E-2</v>
      </c>
      <c r="J7" s="1">
        <f t="shared" si="1"/>
        <v>-0.17708754370071739</v>
      </c>
    </row>
    <row r="8" spans="1:11" x14ac:dyDescent="0.35">
      <c r="A8" t="s">
        <v>8</v>
      </c>
      <c r="B8">
        <v>-0.25488464448468001</v>
      </c>
      <c r="C8">
        <v>-0.71</v>
      </c>
      <c r="D8" s="1">
        <f t="shared" si="0"/>
        <v>0.45511535551531995</v>
      </c>
      <c r="G8" t="s">
        <v>8</v>
      </c>
      <c r="H8">
        <v>-0.25488464448468001</v>
      </c>
      <c r="I8">
        <v>-8.8692667153502699E-2</v>
      </c>
      <c r="J8" s="1">
        <f t="shared" si="1"/>
        <v>-0.1661919773311773</v>
      </c>
    </row>
    <row r="9" spans="1:11" x14ac:dyDescent="0.35">
      <c r="A9" t="s">
        <v>9</v>
      </c>
      <c r="B9">
        <v>-0.41997834357757502</v>
      </c>
      <c r="C9">
        <v>-0.75</v>
      </c>
      <c r="D9" s="1">
        <f t="shared" si="0"/>
        <v>0.33002165642242498</v>
      </c>
      <c r="E9" s="1">
        <f>AVERAGE(D6:D9)</f>
        <v>0.54630710187002229</v>
      </c>
      <c r="G9" t="s">
        <v>9</v>
      </c>
      <c r="H9">
        <v>-0.41997834357757502</v>
      </c>
      <c r="I9">
        <v>-0.250167625586043</v>
      </c>
      <c r="J9" s="1">
        <f t="shared" si="1"/>
        <v>-0.16981071799153202</v>
      </c>
      <c r="K9" s="1">
        <f>AVERAGE(J6:J9)</f>
        <v>-0.18333954173379891</v>
      </c>
    </row>
    <row r="10" spans="1:11" x14ac:dyDescent="0.35">
      <c r="A10" t="s">
        <v>10</v>
      </c>
      <c r="B10">
        <v>-0.65959177125745705</v>
      </c>
      <c r="C10">
        <v>-0.92</v>
      </c>
      <c r="D10" s="1">
        <f t="shared" si="0"/>
        <v>0.26040822874254299</v>
      </c>
      <c r="G10" t="s">
        <v>10</v>
      </c>
      <c r="H10">
        <v>-0.65959177125745705</v>
      </c>
      <c r="I10">
        <v>-0.47588569551266702</v>
      </c>
      <c r="J10" s="1">
        <f t="shared" si="1"/>
        <v>-0.18370607574479003</v>
      </c>
    </row>
    <row r="11" spans="1:11" x14ac:dyDescent="0.35">
      <c r="A11" t="s">
        <v>11</v>
      </c>
      <c r="B11">
        <v>-0.66913689549169197</v>
      </c>
      <c r="C11">
        <v>0.14000000000000001</v>
      </c>
      <c r="D11" s="1">
        <f t="shared" si="0"/>
        <v>-0.80913689549169199</v>
      </c>
      <c r="G11" t="s">
        <v>11</v>
      </c>
      <c r="H11">
        <v>-0.66913689549169197</v>
      </c>
      <c r="I11">
        <v>-0.48792538425603699</v>
      </c>
      <c r="J11" s="1">
        <f t="shared" si="1"/>
        <v>-0.18121151123565499</v>
      </c>
    </row>
    <row r="14" spans="1:11" x14ac:dyDescent="0.35">
      <c r="C14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Ahmad</dc:creator>
  <cp:lastModifiedBy>Sarah Ahmad</cp:lastModifiedBy>
  <dcterms:created xsi:type="dcterms:W3CDTF">2025-08-01T18:33:25Z</dcterms:created>
  <dcterms:modified xsi:type="dcterms:W3CDTF">2025-08-07T21:47:45Z</dcterms:modified>
</cp:coreProperties>
</file>