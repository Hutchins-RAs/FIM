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mad\Downloads\"/>
    </mc:Choice>
  </mc:AlternateContent>
  <xr:revisionPtr revIDLastSave="0" documentId="13_ncr:1_{2604730F-8207-4F4B-B452-2DECDB10434B}" xr6:coauthVersionLast="47" xr6:coauthVersionMax="47" xr10:uidLastSave="{00000000-0000-0000-0000-000000000000}"/>
  <bookViews>
    <workbookView xWindow="28680" yWindow="-120" windowWidth="29040" windowHeight="15720" activeTab="2" xr2:uid="{3C1AD5B6-FA21-461A-B29D-FCCE42D47560}"/>
  </bookViews>
  <sheets>
    <sheet name="Federal Non-Corporate" sheetId="1" r:id="rId1"/>
    <sheet name="Federal Corporate" sheetId="2" r:id="rId2"/>
    <sheet name="Summary Table" sheetId="3" r:id="rId3"/>
  </sheets>
  <definedNames>
    <definedName name="_xlnm._FilterDatabase" localSheetId="1" hidden="1">'Federal Corporate'!$A$2:$N$74</definedName>
    <definedName name="_xlnm._FilterDatabase" localSheetId="0" hidden="1">'Federal Non-Corporate'!$A$2:$N$198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B15" i="3"/>
  <c r="B5" i="3"/>
  <c r="B13" i="3" l="1"/>
  <c r="C8" i="3" l="1"/>
  <c r="C14" i="3" s="1"/>
  <c r="D8" i="3"/>
  <c r="D14" i="3" s="1"/>
  <c r="B8" i="3"/>
  <c r="B14" i="3" s="1"/>
  <c r="C5" i="3"/>
  <c r="C13" i="3" s="1"/>
  <c r="D5" i="3"/>
  <c r="D13" i="3" s="1"/>
  <c r="D75" i="2"/>
  <c r="E75" i="2"/>
  <c r="F75" i="2"/>
  <c r="G75" i="2"/>
  <c r="H75" i="2"/>
  <c r="I75" i="2"/>
  <c r="J75" i="2"/>
  <c r="K75" i="2"/>
  <c r="L75" i="2"/>
  <c r="M75" i="2"/>
  <c r="N75" i="2"/>
  <c r="C75" i="2"/>
  <c r="B10" i="3" l="1"/>
  <c r="B11" i="3" s="1"/>
  <c r="D10" i="3"/>
  <c r="D11" i="3" s="1"/>
  <c r="C10" i="3"/>
  <c r="C11" i="3" s="1"/>
</calcChain>
</file>

<file path=xl/sharedStrings.xml><?xml version="1.0" encoding="utf-8"?>
<sst xmlns="http://schemas.openxmlformats.org/spreadsheetml/2006/main" count="327" uniqueCount="130">
  <si>
    <t xml:space="preserve">Section </t>
  </si>
  <si>
    <t>Provision</t>
  </si>
  <si>
    <t xml:space="preserve">By Fiscal Year, Millions of Dollars </t>
  </si>
  <si>
    <t>2025-2029</t>
  </si>
  <si>
    <t>2025-2034</t>
  </si>
  <si>
    <t>Estimated Outlays</t>
  </si>
  <si>
    <t>Estimated Revenues</t>
  </si>
  <si>
    <t>Category</t>
  </si>
  <si>
    <t>Extension and Enhancement of Reduced Rates</t>
  </si>
  <si>
    <t>Estimated Outlays (JCT Estimate)</t>
  </si>
  <si>
    <t>Extension and Enhancement of Increased</t>
  </si>
  <si>
    <t>Extension and Enhancement of Increased Standard Deduction</t>
  </si>
  <si>
    <t xml:space="preserve">Termination of Deduction for Personal Exemptions </t>
  </si>
  <si>
    <t xml:space="preserve">Termination of Deduction for Personal Exemptions  </t>
  </si>
  <si>
    <t>Extension and Enhancement of Increased CTC</t>
  </si>
  <si>
    <t>Extension and Modification of Limitation on</t>
  </si>
  <si>
    <t>Extension and Modification of Limitation on Deduction for Qualified Residence Interest</t>
  </si>
  <si>
    <t>Extension and Modification of Limitation</t>
  </si>
  <si>
    <t>Extension and Modification of Limitation on Casualty Loss Deduction</t>
  </si>
  <si>
    <t>Extension and Enhancement of Increased Limitation on Contributions to ABLE Accounts</t>
  </si>
  <si>
    <t>*</t>
  </si>
  <si>
    <t xml:space="preserve">Extension and Enhancement of Savers Credit </t>
  </si>
  <si>
    <t>Extension and Enhancement of Savers Credit Allowed for ABLE Contributions</t>
  </si>
  <si>
    <t>Extension of Rollovers from Qualified Tuition</t>
  </si>
  <si>
    <t>Limitation on Individual Deductions for Certain</t>
  </si>
  <si>
    <t>Trump Accounts and Contribution Pilot Program</t>
  </si>
  <si>
    <t>Estimated Outlays (CBO &amp; JCT Estimate)</t>
  </si>
  <si>
    <t>Enhancement of Adoption Credit</t>
  </si>
  <si>
    <t>Recognizing Indian Tribal Governments for Purposes</t>
  </si>
  <si>
    <t>Enhancement of the Dependent Care</t>
  </si>
  <si>
    <t>Enhancement of Child and Dependent</t>
  </si>
  <si>
    <t>Permanent Renewal and Enhancement</t>
  </si>
  <si>
    <t>Permanent Increase in Limitation on Cover</t>
  </si>
  <si>
    <t>Termination of Previously-Owned Clean</t>
  </si>
  <si>
    <t>Termination of Clean Vehicle Credit</t>
  </si>
  <si>
    <t>Termination of Clean Hydrogen Production Credit</t>
  </si>
  <si>
    <t>Termination and Restrictions on Clean</t>
  </si>
  <si>
    <t>Phase-Out and Restrictions on Advanced</t>
  </si>
  <si>
    <t>Modifications to De Minimis Entry Privilege</t>
  </si>
  <si>
    <t xml:space="preserve">Enforcement Provisions With Respect to </t>
  </si>
  <si>
    <t>Social Security Number Requirement for American</t>
  </si>
  <si>
    <t>Permitting Premium Tax Credit Only for Certain Individuals</t>
  </si>
  <si>
    <t>Disallowing Premium Tax Credit During Periods</t>
  </si>
  <si>
    <t>Requiring Verification of Eligibility for</t>
  </si>
  <si>
    <t>Disallowing Premium Tax Credit in Case of Certain Coverage</t>
  </si>
  <si>
    <t>Eliminating Limitation on Recapture of Advance</t>
  </si>
  <si>
    <t>Estimated Revenues (JCT Estimate)</t>
  </si>
  <si>
    <t>Extension and Enhancement of Deduction</t>
  </si>
  <si>
    <t>Extension of Increased Alternative Minimum Tax</t>
  </si>
  <si>
    <t>Termination of Miscellaneous Itemized Deductions</t>
  </si>
  <si>
    <t>Limitation on Tax Benefit of Itemized Deductions</t>
  </si>
  <si>
    <t>Extension and Modification of Qualified</t>
  </si>
  <si>
    <t>Extension of Treatment of Certain Individuals</t>
  </si>
  <si>
    <t>Extension and Modification of Exclusion From</t>
  </si>
  <si>
    <t>No Tax on Tips</t>
  </si>
  <si>
    <t>No Tax on Overtime</t>
  </si>
  <si>
    <t>No Tax on Car Loan Interest</t>
  </si>
  <si>
    <t>Full Expensing for Certain Business Property</t>
  </si>
  <si>
    <t>Full Expensing of Domestic Research and</t>
  </si>
  <si>
    <t>Modification of Limitation on Business Interest</t>
  </si>
  <si>
    <t>Extension and Enhancement of Paid</t>
  </si>
  <si>
    <t>Exceptions From Limitations on Deduction</t>
  </si>
  <si>
    <t>Increased Dollar Limitations for Expensing</t>
  </si>
  <si>
    <t>Special Depreciation Allowance for</t>
  </si>
  <si>
    <t>Enhancement of Advanced Manufacturing</t>
  </si>
  <si>
    <t>Spaceports are Treated Like Airports Under</t>
  </si>
  <si>
    <t>Modifications Related to Foreign Tax</t>
  </si>
  <si>
    <t>Modifications to Determination of Deemed Paid Credit</t>
  </si>
  <si>
    <t>Sourcing Certain Income From the Sale of</t>
  </si>
  <si>
    <t>Modification of Deduction for Foreign-Derived Deduction</t>
  </si>
  <si>
    <t>Determination of Deduction Eligible Income</t>
  </si>
  <si>
    <t>Rules Related to Deemed Intangible Income</t>
  </si>
  <si>
    <t xml:space="preserve">Extension and Bodification of Base Erosion Minimum </t>
  </si>
  <si>
    <t>Coordination of Business Interest Limitation</t>
  </si>
  <si>
    <t>Definition of Adjusted Taxable Income for</t>
  </si>
  <si>
    <t>Permanent Extension of Look-Thru Rule</t>
  </si>
  <si>
    <t>Repeal of Election for 1-Month Deferral in Determination</t>
  </si>
  <si>
    <t>Restoration of Limitation on Downward Attribution of Stock</t>
  </si>
  <si>
    <t>Modifications to Pro Rata Share Rules</t>
  </si>
  <si>
    <t>Enhancement of Employer-Provided Child Care Credit</t>
  </si>
  <si>
    <t>Tax Credit for Contributions of Individuals</t>
  </si>
  <si>
    <t>Exclusion for Employer Payments of Student Loans</t>
  </si>
  <si>
    <t>Additional Expenses Treated as Qualified Higher</t>
  </si>
  <si>
    <t>Modification of Excise Tax on Investment Income</t>
  </si>
  <si>
    <t>Expanding Application of Tax on Excess</t>
  </si>
  <si>
    <t xml:space="preserve">Permanent Enhancement of Low-Income </t>
  </si>
  <si>
    <t>Permanent Extension of New Markets Tax Credit</t>
  </si>
  <si>
    <t xml:space="preserve">Permanent and Expanded Reinstatement of Partial </t>
  </si>
  <si>
    <t>0.5-Percent Floor on Deduction of Contributions</t>
  </si>
  <si>
    <t>1-Percent Floor on Deduction of Charitable</t>
  </si>
  <si>
    <t>Exception to Percentage of Completion</t>
  </si>
  <si>
    <t>Expansion of Qualified Small Business</t>
  </si>
  <si>
    <t>Repeal of Revision to De Minimis Rules</t>
  </si>
  <si>
    <t>Increase in Threshold for Requiring Information</t>
  </si>
  <si>
    <t>Treatment of Certain Qualified Sound</t>
  </si>
  <si>
    <t xml:space="preserve">Exclusion of Interest on Loans Secured </t>
  </si>
  <si>
    <t>Reduction of Transfer and Manufacturing</t>
  </si>
  <si>
    <t>Treatment of Capital Gains From the Sale of</t>
  </si>
  <si>
    <t>Extension of Rules for Treatment of Certain</t>
  </si>
  <si>
    <t>Restoration of Taxable REIT Subsidiary</t>
  </si>
  <si>
    <t>Termination of Qualified Commercial Clean</t>
  </si>
  <si>
    <t>Termination of Alternative Fuel Vehicle</t>
  </si>
  <si>
    <t>Termination of Energy Efficient Home</t>
  </si>
  <si>
    <t>Termination of Residential Clean Energy Credit</t>
  </si>
  <si>
    <t>Termination of Energy Efficient Commercial</t>
  </si>
  <si>
    <t>Termination of New Energy Efficient Home Credit</t>
  </si>
  <si>
    <t>Termination of Cost Recovery for Energy Property</t>
  </si>
  <si>
    <t>Extension and Modification of Clean Fuel</t>
  </si>
  <si>
    <t>Restrictions on Carbon Oxide Sequestration Credit</t>
  </si>
  <si>
    <t>Intangible Drilling and Development Costs Taken Into</t>
  </si>
  <si>
    <t>Income from Hydrogen Storage, Carbon Capture, Advanced</t>
  </si>
  <si>
    <t>Modification and Extension of Limitation on Excess</t>
  </si>
  <si>
    <t xml:space="preserve">Treatment of Payments From Partnerships To </t>
  </si>
  <si>
    <t>Excessive Employee Renumeration From Controlled</t>
  </si>
  <si>
    <t>Excise Tax on Certain Remittance Transfers</t>
  </si>
  <si>
    <t>Estimated Revenues (CBO &amp; JCT Estimate)</t>
  </si>
  <si>
    <t>Permanent Extension of Safe Harbor for Absence</t>
  </si>
  <si>
    <t>Allowance of Bronze and Catastrophic Plans</t>
  </si>
  <si>
    <t>Treatment of Direct Primary Care Service</t>
  </si>
  <si>
    <t>Non-Corporate Revenues</t>
  </si>
  <si>
    <t>Non-Corporate Outlays</t>
  </si>
  <si>
    <t>Non-Corporate Effect on Deficit</t>
  </si>
  <si>
    <t>Corporate Outlays</t>
  </si>
  <si>
    <t>Corporate Revenues</t>
  </si>
  <si>
    <t>Corporate Effect on Deficit</t>
  </si>
  <si>
    <t>in billions</t>
  </si>
  <si>
    <t>Add factor to FIM growth rate (OLD)</t>
  </si>
  <si>
    <t>Indiv Income Add Factor due to OBBBA</t>
  </si>
  <si>
    <t>Corp Taxes Add Factor due to OBBBA</t>
  </si>
  <si>
    <t>Total effect due to OBBBA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</si>
</sst>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3" applyNumberFormat="1" applyFont="1" applyAlignment="1">
      <alignment horizontal="right"/>
    </xf>
    <xf numFmtId="3" fontId="2" fillId="2" borderId="0" xfId="4" applyNumberFormat="1" applyFont="1" applyFill="1" applyAlignment="1">
      <alignment horizontal="right"/>
    </xf>
    <xf numFmtId="3" fontId="2" fillId="2" borderId="0" xfId="1" applyNumberFormat="1" applyFont="1" applyFill="1" applyAlignment="1">
      <alignment horizontal="right"/>
    </xf>
    <xf numFmtId="0" fontId="3" fillId="0" borderId="0" xfId="0" applyFont="1"/>
    <xf numFmtId="3" fontId="3" fillId="2" borderId="0" xfId="1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0" fillId="0" borderId="0" xfId="0" applyNumberFormat="1"/>
    <xf numFmtId="164" fontId="0" fillId="0" borderId="0" xfId="2" applyNumberFormat="1" applyFont="1"/>
    <xf numFmtId="0" fontId="0" fillId="3" borderId="0" xfId="0" applyFill="1"/>
    <xf numFmtId="164" fontId="0" fillId="3" borderId="0" xfId="2" applyNumberFormat="1" applyFont="1" applyFill="1"/>
    <xf numFmtId="0" fontId="0" fillId="4" borderId="0" xfId="0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 applyAlignment="1"/>
    <xf numFmtId="164" fontId="0" fillId="0" borderId="0" xfId="2" applyNumberFormat="1" applyFont="1" applyFill="1"/>
  </cellXfs>
  <cellStyles count="5">
    <cellStyle name="Comma" xfId="1" builtinId="3"/>
    <cellStyle name="Comma 5" xfId="4" xr:uid="{3A22F6FD-BDE1-4E1D-85D6-ED9C4D0F1D64}"/>
    <cellStyle name="Currency" xfId="2" builtinId="4"/>
    <cellStyle name="Normal" xfId="0" builtinId="0"/>
    <cellStyle name="Normal 5" xfId="3" xr:uid="{F71CD93D-67C9-486C-8775-277191DDD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0E14-F205-4988-90FF-0B28B7973AA0}">
  <dimension ref="A1:N199"/>
  <sheetViews>
    <sheetView workbookViewId="0">
      <selection activeCell="J13" sqref="J13"/>
    </sheetView>
  </sheetViews>
  <sheetFormatPr defaultRowHeight="14.5" x14ac:dyDescent="0.35"/>
  <cols>
    <col min="1" max="1" width="8.7265625" style="16"/>
    <col min="2" max="2" width="76.26953125" bestFit="1" customWidth="1"/>
    <col min="14" max="14" width="9.81640625" bestFit="1" customWidth="1"/>
  </cols>
  <sheetData>
    <row r="1" spans="1:14" x14ac:dyDescent="0.35">
      <c r="C1" s="18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5">
      <c r="A2" s="16" t="s">
        <v>0</v>
      </c>
      <c r="B2" t="s">
        <v>1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 t="s">
        <v>3</v>
      </c>
      <c r="N2" t="s">
        <v>4</v>
      </c>
    </row>
    <row r="3" spans="1:14" x14ac:dyDescent="0.35">
      <c r="A3" s="1">
        <v>70101</v>
      </c>
      <c r="B3" t="s">
        <v>8</v>
      </c>
      <c r="C3" s="3"/>
      <c r="D3" s="4"/>
      <c r="E3" s="4"/>
      <c r="F3" s="4"/>
      <c r="G3" s="4"/>
      <c r="H3" s="4"/>
      <c r="I3" s="4"/>
      <c r="J3" s="4"/>
      <c r="K3" s="4"/>
      <c r="L3" s="4"/>
      <c r="M3" s="5"/>
      <c r="N3" s="5"/>
    </row>
    <row r="4" spans="1:14" x14ac:dyDescent="0.35">
      <c r="B4" s="2" t="s">
        <v>9</v>
      </c>
      <c r="C4" s="3">
        <v>0</v>
      </c>
      <c r="D4" s="3">
        <v>0</v>
      </c>
      <c r="E4" s="3">
        <v>1249</v>
      </c>
      <c r="F4" s="3">
        <v>1247</v>
      </c>
      <c r="G4" s="3">
        <v>1273</v>
      </c>
      <c r="H4" s="3">
        <v>1291</v>
      </c>
      <c r="I4" s="3">
        <v>1324</v>
      </c>
      <c r="J4" s="3">
        <v>1396</v>
      </c>
      <c r="K4" s="3">
        <v>1460</v>
      </c>
      <c r="L4" s="3">
        <v>1511</v>
      </c>
      <c r="M4" s="6">
        <v>3769</v>
      </c>
      <c r="N4" s="6">
        <v>10751</v>
      </c>
    </row>
    <row r="5" spans="1:14" x14ac:dyDescent="0.35">
      <c r="A5" s="1">
        <v>70102</v>
      </c>
      <c r="B5" s="1" t="s">
        <v>11</v>
      </c>
    </row>
    <row r="6" spans="1:14" x14ac:dyDescent="0.35">
      <c r="B6" s="2" t="s">
        <v>9</v>
      </c>
      <c r="C6" s="3">
        <v>0</v>
      </c>
      <c r="D6" s="3">
        <v>1719</v>
      </c>
      <c r="E6" s="3">
        <v>13128</v>
      </c>
      <c r="F6" s="3">
        <v>13012</v>
      </c>
      <c r="G6" s="3">
        <v>13059</v>
      </c>
      <c r="H6" s="3">
        <v>13224</v>
      </c>
      <c r="I6" s="3">
        <v>13384</v>
      </c>
      <c r="J6" s="3">
        <v>13644</v>
      </c>
      <c r="K6" s="3">
        <v>13975</v>
      </c>
      <c r="L6" s="3">
        <v>14370</v>
      </c>
      <c r="M6" s="6">
        <v>40918</v>
      </c>
      <c r="N6" s="6">
        <v>109515</v>
      </c>
    </row>
    <row r="7" spans="1:14" x14ac:dyDescent="0.35">
      <c r="A7" s="16">
        <v>70103</v>
      </c>
      <c r="B7" t="s">
        <v>13</v>
      </c>
    </row>
    <row r="8" spans="1:14" x14ac:dyDescent="0.35">
      <c r="B8" s="2" t="s">
        <v>9</v>
      </c>
      <c r="C8" s="3">
        <v>0</v>
      </c>
      <c r="D8" s="3">
        <v>411</v>
      </c>
      <c r="E8" s="3">
        <v>-17340</v>
      </c>
      <c r="F8" s="3">
        <v>-17039</v>
      </c>
      <c r="G8" s="3">
        <v>-17075</v>
      </c>
      <c r="H8" s="3">
        <v>-17475</v>
      </c>
      <c r="I8" s="3">
        <v>-17590</v>
      </c>
      <c r="J8" s="3">
        <v>-17741</v>
      </c>
      <c r="K8" s="3">
        <v>-17927</v>
      </c>
      <c r="L8" s="3">
        <v>-18387</v>
      </c>
      <c r="M8" s="6">
        <v>-51043</v>
      </c>
      <c r="N8" s="6">
        <v>-140163</v>
      </c>
    </row>
    <row r="9" spans="1:14" x14ac:dyDescent="0.35">
      <c r="A9" s="1">
        <v>70104</v>
      </c>
      <c r="B9" s="1" t="s">
        <v>14</v>
      </c>
    </row>
    <row r="10" spans="1:14" x14ac:dyDescent="0.35">
      <c r="B10" s="2" t="s">
        <v>9</v>
      </c>
      <c r="C10" s="3">
        <v>0</v>
      </c>
      <c r="D10" s="3">
        <v>0</v>
      </c>
      <c r="E10" s="3">
        <v>22285</v>
      </c>
      <c r="F10" s="3">
        <v>22300</v>
      </c>
      <c r="G10" s="3">
        <v>23227</v>
      </c>
      <c r="H10" s="3">
        <v>23399</v>
      </c>
      <c r="I10" s="3">
        <v>24361</v>
      </c>
      <c r="J10" s="3">
        <v>24035</v>
      </c>
      <c r="K10" s="3">
        <v>25578</v>
      </c>
      <c r="L10" s="3">
        <v>25314</v>
      </c>
      <c r="M10" s="6">
        <v>67812</v>
      </c>
      <c r="N10" s="6">
        <v>190501</v>
      </c>
    </row>
    <row r="11" spans="1:14" x14ac:dyDescent="0.35">
      <c r="A11" s="1">
        <v>70108</v>
      </c>
      <c r="B11" s="7" t="s">
        <v>16</v>
      </c>
      <c r="C11" s="7"/>
    </row>
    <row r="12" spans="1:14" x14ac:dyDescent="0.35">
      <c r="B12" s="2" t="s">
        <v>9</v>
      </c>
      <c r="C12" s="3">
        <v>0</v>
      </c>
      <c r="D12" s="3">
        <v>0</v>
      </c>
      <c r="E12" s="3">
        <v>23</v>
      </c>
      <c r="F12" s="3">
        <v>18</v>
      </c>
      <c r="G12" s="3">
        <v>16</v>
      </c>
      <c r="H12" s="3">
        <v>14</v>
      </c>
      <c r="I12" s="3">
        <v>12</v>
      </c>
      <c r="J12" s="3">
        <v>11</v>
      </c>
      <c r="K12" s="3">
        <v>13</v>
      </c>
      <c r="L12" s="3">
        <v>11</v>
      </c>
      <c r="M12" s="8">
        <v>57</v>
      </c>
      <c r="N12" s="8">
        <v>118</v>
      </c>
    </row>
    <row r="13" spans="1:14" x14ac:dyDescent="0.35">
      <c r="A13" s="1">
        <v>70109</v>
      </c>
      <c r="B13" s="1" t="s">
        <v>18</v>
      </c>
    </row>
    <row r="14" spans="1:14" x14ac:dyDescent="0.35">
      <c r="B14" s="2" t="s">
        <v>9</v>
      </c>
      <c r="C14" s="3">
        <v>0</v>
      </c>
      <c r="D14" s="3">
        <v>0</v>
      </c>
      <c r="E14" s="3">
        <v>-6</v>
      </c>
      <c r="F14" s="3">
        <v>-5</v>
      </c>
      <c r="G14" s="3">
        <v>-6</v>
      </c>
      <c r="H14" s="3">
        <v>-5</v>
      </c>
      <c r="I14" s="3">
        <v>-5</v>
      </c>
      <c r="J14" s="3">
        <v>-5</v>
      </c>
      <c r="K14" s="3">
        <v>-5</v>
      </c>
      <c r="L14" s="3">
        <v>-4</v>
      </c>
      <c r="M14" s="8">
        <v>-17</v>
      </c>
      <c r="N14" s="8">
        <v>-41</v>
      </c>
    </row>
    <row r="15" spans="1:14" x14ac:dyDescent="0.35">
      <c r="A15" s="1">
        <v>70115</v>
      </c>
      <c r="B15" s="1" t="s">
        <v>19</v>
      </c>
    </row>
    <row r="16" spans="1:14" x14ac:dyDescent="0.35">
      <c r="B16" s="1" t="s">
        <v>5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8">
        <v>1</v>
      </c>
      <c r="N16" s="8">
        <v>2</v>
      </c>
    </row>
    <row r="17" spans="1:14" x14ac:dyDescent="0.35">
      <c r="A17" s="1">
        <v>70116</v>
      </c>
      <c r="B17" s="2" t="s">
        <v>22</v>
      </c>
    </row>
    <row r="18" spans="1:14" x14ac:dyDescent="0.35">
      <c r="B18" s="1" t="s">
        <v>5</v>
      </c>
      <c r="C18" s="3">
        <v>0</v>
      </c>
      <c r="D18" s="3" t="s">
        <v>20</v>
      </c>
      <c r="E18" s="3" t="s">
        <v>20</v>
      </c>
      <c r="F18" s="3" t="s">
        <v>20</v>
      </c>
      <c r="G18" s="3">
        <v>1</v>
      </c>
      <c r="H18" s="3" t="s">
        <v>20</v>
      </c>
      <c r="I18" s="3" t="s">
        <v>20</v>
      </c>
      <c r="J18" s="3" t="s">
        <v>20</v>
      </c>
      <c r="K18" s="3" t="s">
        <v>20</v>
      </c>
      <c r="L18" s="3">
        <v>1</v>
      </c>
      <c r="M18" s="8">
        <v>1</v>
      </c>
      <c r="N18" s="8">
        <v>2</v>
      </c>
    </row>
    <row r="19" spans="1:14" x14ac:dyDescent="0.35">
      <c r="A19" s="1">
        <v>70117</v>
      </c>
      <c r="B19" s="7" t="s">
        <v>23</v>
      </c>
      <c r="C19" s="7"/>
    </row>
    <row r="20" spans="1:14" x14ac:dyDescent="0.35">
      <c r="B20" s="1" t="s">
        <v>5</v>
      </c>
      <c r="C20" s="3">
        <v>0</v>
      </c>
      <c r="D20" s="3" t="s">
        <v>20</v>
      </c>
      <c r="E20" s="3" t="s">
        <v>20</v>
      </c>
      <c r="F20" s="3" t="s">
        <v>20</v>
      </c>
      <c r="G20" s="3">
        <v>1</v>
      </c>
      <c r="H20" s="3" t="s">
        <v>20</v>
      </c>
      <c r="I20" s="3" t="s">
        <v>20</v>
      </c>
      <c r="J20" s="3" t="s">
        <v>20</v>
      </c>
      <c r="K20" s="3" t="s">
        <v>20</v>
      </c>
      <c r="L20" s="3">
        <v>1</v>
      </c>
      <c r="M20" s="8">
        <v>1</v>
      </c>
      <c r="N20" s="8">
        <v>2</v>
      </c>
    </row>
    <row r="21" spans="1:14" x14ac:dyDescent="0.35">
      <c r="A21" s="1">
        <v>70120</v>
      </c>
      <c r="B21" s="1" t="s">
        <v>24</v>
      </c>
    </row>
    <row r="22" spans="1:14" x14ac:dyDescent="0.35">
      <c r="B22" s="2" t="s">
        <v>9</v>
      </c>
      <c r="C22" s="3">
        <v>0</v>
      </c>
      <c r="D22" s="3">
        <v>188</v>
      </c>
      <c r="E22" s="3">
        <v>-425</v>
      </c>
      <c r="F22" s="3">
        <v>-239</v>
      </c>
      <c r="G22" s="3">
        <v>-250</v>
      </c>
      <c r="H22" s="3">
        <v>-235</v>
      </c>
      <c r="I22" s="3">
        <v>-413</v>
      </c>
      <c r="J22" s="3">
        <v>-241</v>
      </c>
      <c r="K22" s="3">
        <v>-223</v>
      </c>
      <c r="L22" s="3">
        <v>-216</v>
      </c>
      <c r="M22" s="8">
        <v>-726</v>
      </c>
      <c r="N22" s="8">
        <v>-2054</v>
      </c>
    </row>
    <row r="23" spans="1:14" x14ac:dyDescent="0.35">
      <c r="A23" s="1">
        <v>70204</v>
      </c>
      <c r="B23" s="7" t="s">
        <v>25</v>
      </c>
      <c r="C23" s="7"/>
    </row>
    <row r="24" spans="1:14" x14ac:dyDescent="0.35">
      <c r="B24" s="2" t="s">
        <v>26</v>
      </c>
      <c r="C24" s="3">
        <v>731</v>
      </c>
      <c r="D24" s="3">
        <v>6628</v>
      </c>
      <c r="E24" s="3">
        <v>3700</v>
      </c>
      <c r="F24" s="3">
        <v>3685</v>
      </c>
      <c r="G24" s="3">
        <v>45</v>
      </c>
      <c r="H24" s="3">
        <v>45</v>
      </c>
      <c r="I24" s="3">
        <v>45</v>
      </c>
      <c r="J24" s="3">
        <v>45</v>
      </c>
      <c r="K24" s="3">
        <v>45</v>
      </c>
      <c r="L24" s="3">
        <v>40</v>
      </c>
      <c r="M24" s="6">
        <v>14789</v>
      </c>
      <c r="N24" s="6">
        <v>15009</v>
      </c>
    </row>
    <row r="25" spans="1:14" x14ac:dyDescent="0.35">
      <c r="A25" s="1">
        <v>70402</v>
      </c>
      <c r="B25" s="1" t="s">
        <v>27</v>
      </c>
    </row>
    <row r="26" spans="1:14" x14ac:dyDescent="0.35">
      <c r="B26" s="2" t="s">
        <v>9</v>
      </c>
      <c r="C26" s="3">
        <v>185</v>
      </c>
      <c r="D26" s="3">
        <v>410</v>
      </c>
      <c r="E26" s="3">
        <v>293</v>
      </c>
      <c r="F26" s="3">
        <v>293</v>
      </c>
      <c r="G26" s="3">
        <v>178</v>
      </c>
      <c r="H26" s="3">
        <v>179</v>
      </c>
      <c r="I26" s="3">
        <v>179</v>
      </c>
      <c r="J26" s="3">
        <v>180</v>
      </c>
      <c r="K26" s="3">
        <v>181</v>
      </c>
      <c r="L26" s="3">
        <v>182</v>
      </c>
      <c r="M26" s="6">
        <v>1359</v>
      </c>
      <c r="N26" s="6">
        <v>2260</v>
      </c>
    </row>
    <row r="27" spans="1:14" x14ac:dyDescent="0.35">
      <c r="A27" s="1">
        <v>70403</v>
      </c>
      <c r="B27" s="7" t="s">
        <v>28</v>
      </c>
      <c r="C27" s="7"/>
    </row>
    <row r="28" spans="1:14" x14ac:dyDescent="0.35">
      <c r="B28" s="2" t="s">
        <v>9</v>
      </c>
      <c r="C28" s="3" t="s">
        <v>20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20</v>
      </c>
      <c r="N28" s="6">
        <v>1</v>
      </c>
    </row>
    <row r="29" spans="1:14" x14ac:dyDescent="0.35">
      <c r="A29" s="1">
        <v>70404</v>
      </c>
      <c r="B29" s="1" t="s">
        <v>29</v>
      </c>
    </row>
    <row r="30" spans="1:14" x14ac:dyDescent="0.35">
      <c r="B30" s="1" t="s">
        <v>9</v>
      </c>
      <c r="C30" s="9">
        <v>0</v>
      </c>
      <c r="D30" s="9">
        <v>0</v>
      </c>
      <c r="E30" s="9">
        <v>3</v>
      </c>
      <c r="F30" s="9">
        <v>3</v>
      </c>
      <c r="G30" s="9">
        <v>4</v>
      </c>
      <c r="H30" s="9">
        <v>4</v>
      </c>
      <c r="I30" s="9">
        <v>4</v>
      </c>
      <c r="J30" s="9">
        <v>4</v>
      </c>
      <c r="K30" s="9">
        <v>4</v>
      </c>
      <c r="L30" s="9">
        <v>5</v>
      </c>
      <c r="M30" s="8">
        <v>10</v>
      </c>
      <c r="N30" s="8">
        <v>31</v>
      </c>
    </row>
    <row r="31" spans="1:14" x14ac:dyDescent="0.35">
      <c r="A31" s="1">
        <v>70405</v>
      </c>
      <c r="B31" s="1" t="s">
        <v>30</v>
      </c>
    </row>
    <row r="32" spans="1:14" x14ac:dyDescent="0.35">
      <c r="B32" s="2" t="s">
        <v>9</v>
      </c>
      <c r="C32" s="10">
        <v>0</v>
      </c>
      <c r="D32" s="10">
        <v>0</v>
      </c>
      <c r="E32" s="10">
        <v>383</v>
      </c>
      <c r="F32" s="10">
        <v>401</v>
      </c>
      <c r="G32" s="10">
        <v>386</v>
      </c>
      <c r="H32" s="10">
        <v>401</v>
      </c>
      <c r="I32" s="10">
        <v>387</v>
      </c>
      <c r="J32" s="10">
        <v>383</v>
      </c>
      <c r="K32" s="10">
        <v>388</v>
      </c>
      <c r="L32" s="10">
        <v>383</v>
      </c>
      <c r="M32" s="6">
        <v>1170</v>
      </c>
      <c r="N32" s="6">
        <v>3112</v>
      </c>
    </row>
    <row r="33" spans="1:14" x14ac:dyDescent="0.35">
      <c r="A33" s="1">
        <v>70421</v>
      </c>
      <c r="B33" s="1" t="s">
        <v>31</v>
      </c>
    </row>
    <row r="34" spans="1:14" x14ac:dyDescent="0.35">
      <c r="B34" s="2" t="s">
        <v>26</v>
      </c>
      <c r="C34" s="3">
        <v>0</v>
      </c>
      <c r="D34" s="3">
        <v>10</v>
      </c>
      <c r="E34" s="3">
        <v>13</v>
      </c>
      <c r="F34" s="3">
        <v>8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6">
        <v>31</v>
      </c>
      <c r="N34" s="6">
        <v>31</v>
      </c>
    </row>
    <row r="35" spans="1:14" x14ac:dyDescent="0.35">
      <c r="A35" s="1">
        <v>70501</v>
      </c>
      <c r="B35" s="1" t="s">
        <v>33</v>
      </c>
    </row>
    <row r="36" spans="1:14" x14ac:dyDescent="0.35">
      <c r="B36" s="2" t="s">
        <v>9</v>
      </c>
      <c r="C36" s="3">
        <v>0</v>
      </c>
      <c r="D36" s="3">
        <v>43</v>
      </c>
      <c r="E36" s="3">
        <v>174</v>
      </c>
      <c r="F36" s="3">
        <v>217</v>
      </c>
      <c r="G36" s="3">
        <v>345</v>
      </c>
      <c r="H36" s="3">
        <v>454</v>
      </c>
      <c r="I36" s="3">
        <v>519</v>
      </c>
      <c r="J36" s="3">
        <v>637</v>
      </c>
      <c r="K36" s="3">
        <v>584</v>
      </c>
      <c r="L36" s="3">
        <v>0</v>
      </c>
      <c r="M36" s="6">
        <v>779</v>
      </c>
      <c r="N36" s="6">
        <v>2972</v>
      </c>
    </row>
    <row r="37" spans="1:14" x14ac:dyDescent="0.35">
      <c r="A37" s="1">
        <v>70502</v>
      </c>
      <c r="B37" s="1" t="s">
        <v>34</v>
      </c>
    </row>
    <row r="38" spans="1:14" x14ac:dyDescent="0.35">
      <c r="B38" s="2" t="s">
        <v>9</v>
      </c>
      <c r="C38" s="3">
        <v>0</v>
      </c>
      <c r="D38" s="3">
        <v>-966</v>
      </c>
      <c r="E38" s="3">
        <v>-2932</v>
      </c>
      <c r="F38" s="3">
        <v>-7098</v>
      </c>
      <c r="G38" s="3">
        <v>-11729</v>
      </c>
      <c r="H38" s="3">
        <v>-14008</v>
      </c>
      <c r="I38" s="3">
        <v>-15700</v>
      </c>
      <c r="J38" s="3">
        <v>-17613</v>
      </c>
      <c r="K38" s="3">
        <v>0</v>
      </c>
      <c r="L38" s="3">
        <v>0</v>
      </c>
      <c r="M38" s="6">
        <v>-22725</v>
      </c>
      <c r="N38" s="6">
        <v>-70046</v>
      </c>
    </row>
    <row r="39" spans="1:14" x14ac:dyDescent="0.35">
      <c r="A39" s="1">
        <v>70511</v>
      </c>
      <c r="B39" s="17" t="s">
        <v>35</v>
      </c>
      <c r="C39" s="17"/>
    </row>
    <row r="40" spans="1:14" x14ac:dyDescent="0.35">
      <c r="B40" s="2" t="s">
        <v>9</v>
      </c>
      <c r="C40" s="3">
        <v>0</v>
      </c>
      <c r="D40" s="3">
        <v>0</v>
      </c>
      <c r="E40" s="3">
        <v>0</v>
      </c>
      <c r="F40" s="3">
        <v>0</v>
      </c>
      <c r="G40" s="3">
        <v>-12</v>
      </c>
      <c r="H40" s="3">
        <v>-66</v>
      </c>
      <c r="I40" s="3">
        <v>-237</v>
      </c>
      <c r="J40" s="3">
        <v>-615</v>
      </c>
      <c r="K40" s="3">
        <v>-967</v>
      </c>
      <c r="L40" s="3">
        <v>-1267</v>
      </c>
      <c r="M40" s="6">
        <v>-12</v>
      </c>
      <c r="N40" s="6">
        <v>-3164</v>
      </c>
    </row>
    <row r="41" spans="1:14" x14ac:dyDescent="0.35">
      <c r="A41" s="1">
        <v>70512</v>
      </c>
      <c r="B41" s="1" t="s">
        <v>36</v>
      </c>
    </row>
    <row r="42" spans="1:14" x14ac:dyDescent="0.35">
      <c r="B42" s="2" t="s">
        <v>9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-1</v>
      </c>
      <c r="I42" s="3">
        <v>-5</v>
      </c>
      <c r="J42" s="3">
        <v>-13</v>
      </c>
      <c r="K42" s="3">
        <v>-26</v>
      </c>
      <c r="L42" s="3">
        <v>-43</v>
      </c>
      <c r="M42" s="6">
        <v>0</v>
      </c>
      <c r="N42" s="6">
        <v>-88</v>
      </c>
    </row>
    <row r="43" spans="1:14" x14ac:dyDescent="0.35">
      <c r="A43" s="1">
        <v>70513</v>
      </c>
      <c r="B43" s="1" t="s">
        <v>36</v>
      </c>
    </row>
    <row r="44" spans="1:14" x14ac:dyDescent="0.35">
      <c r="B44" s="2" t="s">
        <v>9</v>
      </c>
      <c r="C44" s="3">
        <v>0</v>
      </c>
      <c r="D44" s="3">
        <v>0</v>
      </c>
      <c r="E44" s="3">
        <v>0</v>
      </c>
      <c r="F44" s="3">
        <v>-4</v>
      </c>
      <c r="G44" s="3">
        <v>-120</v>
      </c>
      <c r="H44" s="3">
        <v>-182</v>
      </c>
      <c r="I44" s="3">
        <v>-250</v>
      </c>
      <c r="J44" s="3">
        <v>-326</v>
      </c>
      <c r="K44" s="3">
        <v>-370</v>
      </c>
      <c r="L44" s="3">
        <v>-390</v>
      </c>
      <c r="M44" s="6">
        <v>-124</v>
      </c>
      <c r="N44" s="6">
        <v>-1643</v>
      </c>
    </row>
    <row r="45" spans="1:14" x14ac:dyDescent="0.35">
      <c r="A45" s="1">
        <v>70514</v>
      </c>
      <c r="B45" s="1" t="s">
        <v>37</v>
      </c>
    </row>
    <row r="46" spans="1:14" x14ac:dyDescent="0.35">
      <c r="B46" s="2" t="s">
        <v>9</v>
      </c>
      <c r="C46" s="3">
        <v>-27</v>
      </c>
      <c r="D46" s="3">
        <v>-95</v>
      </c>
      <c r="E46" s="3">
        <v>-138</v>
      </c>
      <c r="F46" s="3">
        <v>-132</v>
      </c>
      <c r="G46" s="3">
        <v>-117</v>
      </c>
      <c r="H46" s="3">
        <v>-91</v>
      </c>
      <c r="I46" s="3">
        <v>-74</v>
      </c>
      <c r="J46" s="3">
        <v>-58</v>
      </c>
      <c r="K46" s="3">
        <v>-18</v>
      </c>
      <c r="L46" s="3">
        <v>0</v>
      </c>
      <c r="M46" s="6">
        <v>-509</v>
      </c>
      <c r="N46" s="6">
        <v>-749</v>
      </c>
    </row>
    <row r="47" spans="1:14" x14ac:dyDescent="0.35">
      <c r="A47" s="1">
        <v>70606</v>
      </c>
      <c r="B47" s="17" t="s">
        <v>40</v>
      </c>
      <c r="C47" s="17"/>
    </row>
    <row r="48" spans="1:14" x14ac:dyDescent="0.35">
      <c r="B48" s="2" t="s">
        <v>9</v>
      </c>
      <c r="C48" s="3">
        <v>0</v>
      </c>
      <c r="D48" s="3">
        <v>0</v>
      </c>
      <c r="E48" s="3">
        <v>-30</v>
      </c>
      <c r="F48" s="3">
        <v>-32</v>
      </c>
      <c r="G48" s="3">
        <v>-32</v>
      </c>
      <c r="H48" s="3">
        <v>-32</v>
      </c>
      <c r="I48" s="3">
        <v>-31</v>
      </c>
      <c r="J48" s="3">
        <v>-30</v>
      </c>
      <c r="K48" s="3">
        <v>-30</v>
      </c>
      <c r="L48" s="3">
        <v>-30</v>
      </c>
      <c r="M48" s="6">
        <v>-94</v>
      </c>
      <c r="N48" s="6">
        <v>-247</v>
      </c>
    </row>
    <row r="49" spans="1:14" x14ac:dyDescent="0.35">
      <c r="A49" s="1">
        <v>71301</v>
      </c>
      <c r="B49" s="17" t="s">
        <v>41</v>
      </c>
      <c r="C49" s="17"/>
      <c r="D49" s="17"/>
    </row>
    <row r="50" spans="1:14" x14ac:dyDescent="0.35">
      <c r="B50" s="2" t="s">
        <v>26</v>
      </c>
      <c r="C50" s="3">
        <v>0</v>
      </c>
      <c r="D50" s="3">
        <v>0</v>
      </c>
      <c r="E50" s="3">
        <v>-5453</v>
      </c>
      <c r="F50" s="3">
        <v>-7923</v>
      </c>
      <c r="G50" s="3">
        <v>-8399</v>
      </c>
      <c r="H50" s="3">
        <v>-8796</v>
      </c>
      <c r="I50" s="3">
        <v>-9254</v>
      </c>
      <c r="J50" s="3">
        <v>-9713</v>
      </c>
      <c r="K50" s="3">
        <v>-9971</v>
      </c>
      <c r="L50" s="3">
        <v>-10256</v>
      </c>
      <c r="M50" s="6">
        <v>-21775</v>
      </c>
      <c r="N50" s="6">
        <v>-69765</v>
      </c>
    </row>
    <row r="51" spans="1:14" x14ac:dyDescent="0.35">
      <c r="A51" s="1">
        <v>71302</v>
      </c>
      <c r="B51" s="17" t="s">
        <v>42</v>
      </c>
      <c r="C51" s="17"/>
    </row>
    <row r="52" spans="1:14" x14ac:dyDescent="0.35">
      <c r="B52" s="2" t="s">
        <v>26</v>
      </c>
      <c r="C52" s="3">
        <v>0</v>
      </c>
      <c r="D52" s="3">
        <v>-3307</v>
      </c>
      <c r="E52" s="3">
        <v>-4746</v>
      </c>
      <c r="F52" s="3">
        <v>-5159</v>
      </c>
      <c r="G52" s="3">
        <v>-5426</v>
      </c>
      <c r="H52" s="3">
        <v>-5621</v>
      </c>
      <c r="I52" s="3">
        <v>-5913</v>
      </c>
      <c r="J52" s="3">
        <v>-6224</v>
      </c>
      <c r="K52" s="3">
        <v>-6436</v>
      </c>
      <c r="L52" s="3">
        <v>-6695</v>
      </c>
      <c r="M52" s="6">
        <v>-18638</v>
      </c>
      <c r="N52" s="6">
        <v>-49527</v>
      </c>
    </row>
    <row r="53" spans="1:14" x14ac:dyDescent="0.35">
      <c r="A53" s="1">
        <v>71303</v>
      </c>
      <c r="B53" s="1" t="s">
        <v>43</v>
      </c>
    </row>
    <row r="54" spans="1:14" x14ac:dyDescent="0.35">
      <c r="B54" s="2" t="s">
        <v>26</v>
      </c>
      <c r="C54" s="3">
        <v>0</v>
      </c>
      <c r="D54" s="3">
        <v>0</v>
      </c>
      <c r="E54" s="3">
        <v>0</v>
      </c>
      <c r="F54" s="3">
        <v>-3521</v>
      </c>
      <c r="G54" s="3">
        <v>-5124</v>
      </c>
      <c r="H54" s="3">
        <v>-5161</v>
      </c>
      <c r="I54" s="3">
        <v>-5353</v>
      </c>
      <c r="J54" s="3">
        <v>-5560</v>
      </c>
      <c r="K54" s="3">
        <v>-5895</v>
      </c>
      <c r="L54" s="3">
        <v>-6316</v>
      </c>
      <c r="M54" s="6">
        <v>-8645</v>
      </c>
      <c r="N54" s="6">
        <v>-36930</v>
      </c>
    </row>
    <row r="55" spans="1:14" x14ac:dyDescent="0.35">
      <c r="A55" s="1">
        <v>71304</v>
      </c>
      <c r="B55" s="17" t="s">
        <v>44</v>
      </c>
      <c r="C55" s="17"/>
      <c r="D55" s="17"/>
    </row>
    <row r="56" spans="1:14" x14ac:dyDescent="0.35">
      <c r="B56" s="2" t="s">
        <v>26</v>
      </c>
      <c r="C56" s="3">
        <v>0</v>
      </c>
      <c r="D56" s="3">
        <v>-1587</v>
      </c>
      <c r="E56" s="3">
        <v>-3293</v>
      </c>
      <c r="F56" s="3">
        <v>-4534</v>
      </c>
      <c r="G56" s="3">
        <v>-4963</v>
      </c>
      <c r="H56" s="3">
        <v>-4833</v>
      </c>
      <c r="I56" s="3">
        <v>-4810</v>
      </c>
      <c r="J56" s="3">
        <v>-4867</v>
      </c>
      <c r="K56" s="3">
        <v>-5191</v>
      </c>
      <c r="L56" s="3">
        <v>-5404</v>
      </c>
      <c r="M56" s="6">
        <v>-14377</v>
      </c>
      <c r="N56" s="6">
        <v>-39482</v>
      </c>
    </row>
    <row r="57" spans="1:14" x14ac:dyDescent="0.35">
      <c r="A57" s="1">
        <v>71305</v>
      </c>
      <c r="B57" s="17" t="s">
        <v>45</v>
      </c>
      <c r="C57" s="17"/>
    </row>
    <row r="58" spans="1:14" x14ac:dyDescent="0.35">
      <c r="B58" s="2" t="s">
        <v>26</v>
      </c>
      <c r="C58" s="3">
        <v>0</v>
      </c>
      <c r="D58" s="3">
        <v>-39</v>
      </c>
      <c r="E58" s="3">
        <v>-1973</v>
      </c>
      <c r="F58" s="3">
        <v>-1958</v>
      </c>
      <c r="G58" s="3">
        <v>-2106</v>
      </c>
      <c r="H58" s="3">
        <v>-2132</v>
      </c>
      <c r="I58" s="3">
        <v>-2181</v>
      </c>
      <c r="J58" s="3">
        <v>-2242</v>
      </c>
      <c r="K58" s="3">
        <v>-2264</v>
      </c>
      <c r="L58" s="3">
        <v>-2371</v>
      </c>
      <c r="M58" s="6">
        <v>-6076</v>
      </c>
      <c r="N58" s="6">
        <v>-17264</v>
      </c>
    </row>
    <row r="59" spans="1:14" x14ac:dyDescent="0.35">
      <c r="A59" s="1">
        <v>70101</v>
      </c>
      <c r="B59" s="17" t="s">
        <v>8</v>
      </c>
      <c r="C59" s="17"/>
    </row>
    <row r="60" spans="1:14" x14ac:dyDescent="0.35">
      <c r="B60" t="s">
        <v>46</v>
      </c>
      <c r="C60">
        <v>0</v>
      </c>
      <c r="D60">
        <v>-147679</v>
      </c>
      <c r="E60">
        <v>-220905</v>
      </c>
      <c r="F60">
        <v>-231418</v>
      </c>
      <c r="G60">
        <v>-239737</v>
      </c>
      <c r="H60">
        <v>-248513</v>
      </c>
      <c r="I60">
        <v>-258118</v>
      </c>
      <c r="J60">
        <v>-268334</v>
      </c>
      <c r="K60">
        <v>-278460</v>
      </c>
      <c r="L60">
        <v>-289463</v>
      </c>
      <c r="M60">
        <v>-839739</v>
      </c>
      <c r="N60">
        <v>-2182627</v>
      </c>
    </row>
    <row r="61" spans="1:14" x14ac:dyDescent="0.35">
      <c r="A61" s="1">
        <v>70102</v>
      </c>
      <c r="B61" s="1" t="s">
        <v>10</v>
      </c>
    </row>
    <row r="62" spans="1:14" x14ac:dyDescent="0.35">
      <c r="B62" t="s">
        <v>46</v>
      </c>
      <c r="C62">
        <v>-7544</v>
      </c>
      <c r="D62">
        <v>-90405</v>
      </c>
      <c r="E62">
        <v>-131561</v>
      </c>
      <c r="F62">
        <v>-136905</v>
      </c>
      <c r="G62">
        <v>-142475</v>
      </c>
      <c r="H62">
        <v>-148271</v>
      </c>
      <c r="I62">
        <v>-154926</v>
      </c>
      <c r="J62">
        <v>-161157</v>
      </c>
      <c r="K62">
        <v>-167886</v>
      </c>
      <c r="L62">
        <v>-174038</v>
      </c>
      <c r="M62">
        <v>-508890</v>
      </c>
      <c r="N62">
        <v>-1315167</v>
      </c>
    </row>
    <row r="63" spans="1:14" x14ac:dyDescent="0.35">
      <c r="A63" s="1">
        <v>70103</v>
      </c>
      <c r="B63" s="17" t="s">
        <v>12</v>
      </c>
      <c r="C63" s="17"/>
    </row>
    <row r="64" spans="1:14" x14ac:dyDescent="0.35">
      <c r="B64" t="s">
        <v>46</v>
      </c>
      <c r="C64">
        <v>-9264</v>
      </c>
      <c r="D64">
        <v>111036</v>
      </c>
      <c r="E64">
        <v>156113</v>
      </c>
      <c r="F64">
        <v>162581</v>
      </c>
      <c r="G64">
        <v>179339</v>
      </c>
      <c r="H64">
        <v>200090</v>
      </c>
      <c r="I64">
        <v>206426</v>
      </c>
      <c r="J64">
        <v>212818</v>
      </c>
      <c r="K64">
        <v>220512</v>
      </c>
      <c r="L64">
        <v>227258</v>
      </c>
      <c r="M64">
        <v>599805</v>
      </c>
      <c r="N64">
        <v>1666911</v>
      </c>
    </row>
    <row r="65" spans="1:14" x14ac:dyDescent="0.35">
      <c r="A65" s="1">
        <v>70104</v>
      </c>
      <c r="B65" s="1" t="s">
        <v>10</v>
      </c>
    </row>
    <row r="66" spans="1:14" x14ac:dyDescent="0.35">
      <c r="B66" t="s">
        <v>46</v>
      </c>
      <c r="C66">
        <v>0</v>
      </c>
      <c r="D66">
        <v>-48769</v>
      </c>
      <c r="E66">
        <v>-65314</v>
      </c>
      <c r="F66">
        <v>-67874</v>
      </c>
      <c r="G66">
        <v>-69450</v>
      </c>
      <c r="H66">
        <v>-71893</v>
      </c>
      <c r="I66">
        <v>-73229</v>
      </c>
      <c r="J66">
        <v>-75295</v>
      </c>
      <c r="K66">
        <v>-76309</v>
      </c>
      <c r="L66">
        <v>-78215</v>
      </c>
      <c r="M66">
        <v>-251407</v>
      </c>
      <c r="N66">
        <v>-626345</v>
      </c>
    </row>
    <row r="67" spans="1:14" s="21" customFormat="1" x14ac:dyDescent="0.35">
      <c r="A67" s="20">
        <v>70105</v>
      </c>
      <c r="B67" s="20" t="s">
        <v>47</v>
      </c>
    </row>
    <row r="68" spans="1:14" s="21" customFormat="1" x14ac:dyDescent="0.35">
      <c r="A68" s="22"/>
      <c r="B68" s="21" t="s">
        <v>46</v>
      </c>
      <c r="C68" s="21">
        <v>-6970</v>
      </c>
      <c r="D68" s="21">
        <v>-44331</v>
      </c>
      <c r="E68" s="21">
        <v>-74617</v>
      </c>
      <c r="F68" s="21">
        <v>-80917</v>
      </c>
      <c r="G68" s="21">
        <v>-82289</v>
      </c>
      <c r="H68" s="21">
        <v>-84164</v>
      </c>
      <c r="I68" s="21">
        <v>-86454</v>
      </c>
      <c r="J68" s="21">
        <v>-89110</v>
      </c>
      <c r="K68" s="21">
        <v>-92036</v>
      </c>
      <c r="L68" s="21">
        <v>-95650</v>
      </c>
      <c r="M68" s="21">
        <v>-289124</v>
      </c>
      <c r="N68" s="21">
        <v>-736539</v>
      </c>
    </row>
    <row r="69" spans="1:14" x14ac:dyDescent="0.35">
      <c r="A69" s="1">
        <v>70106</v>
      </c>
      <c r="B69" s="1" t="s">
        <v>10</v>
      </c>
    </row>
    <row r="70" spans="1:14" x14ac:dyDescent="0.35">
      <c r="B70" t="s">
        <v>46</v>
      </c>
      <c r="C70">
        <v>-50</v>
      </c>
      <c r="D70">
        <v>-3672</v>
      </c>
      <c r="E70">
        <v>-20276</v>
      </c>
      <c r="F70">
        <v>-22353</v>
      </c>
      <c r="G70">
        <v>-23323</v>
      </c>
      <c r="H70">
        <v>-24710</v>
      </c>
      <c r="I70">
        <v>-26337</v>
      </c>
      <c r="J70">
        <v>-28093</v>
      </c>
      <c r="K70">
        <v>-30275</v>
      </c>
      <c r="L70">
        <v>-32636</v>
      </c>
      <c r="M70">
        <v>-69674</v>
      </c>
      <c r="N70">
        <v>-211725</v>
      </c>
    </row>
    <row r="71" spans="1:14" x14ac:dyDescent="0.35">
      <c r="A71" s="1">
        <v>70107</v>
      </c>
      <c r="B71" s="17" t="s">
        <v>48</v>
      </c>
      <c r="C71" s="17"/>
    </row>
    <row r="72" spans="1:14" x14ac:dyDescent="0.35">
      <c r="B72" t="s">
        <v>46</v>
      </c>
      <c r="C72">
        <v>0</v>
      </c>
      <c r="D72">
        <v>-76835</v>
      </c>
      <c r="E72">
        <v>-137508</v>
      </c>
      <c r="F72">
        <v>-139699</v>
      </c>
      <c r="G72">
        <v>-147311</v>
      </c>
      <c r="H72">
        <v>-155382</v>
      </c>
      <c r="I72">
        <v>-163522</v>
      </c>
      <c r="J72">
        <v>-171962</v>
      </c>
      <c r="K72">
        <v>-180740</v>
      </c>
      <c r="L72">
        <v>-189850</v>
      </c>
      <c r="M72">
        <v>-501353</v>
      </c>
      <c r="N72">
        <v>-1362810</v>
      </c>
    </row>
    <row r="73" spans="1:14" x14ac:dyDescent="0.35">
      <c r="A73" s="1">
        <v>70108</v>
      </c>
      <c r="B73" s="17" t="s">
        <v>15</v>
      </c>
      <c r="C73" s="17"/>
    </row>
    <row r="74" spans="1:14" x14ac:dyDescent="0.35">
      <c r="B74" t="s">
        <v>46</v>
      </c>
      <c r="C74">
        <v>0</v>
      </c>
      <c r="D74">
        <v>1639</v>
      </c>
      <c r="E74">
        <v>3133</v>
      </c>
      <c r="F74">
        <v>3553</v>
      </c>
      <c r="G74">
        <v>4070</v>
      </c>
      <c r="H74">
        <v>4565</v>
      </c>
      <c r="I74">
        <v>5014</v>
      </c>
      <c r="J74">
        <v>5465</v>
      </c>
      <c r="K74">
        <v>5833</v>
      </c>
      <c r="L74">
        <v>6378</v>
      </c>
      <c r="M74">
        <v>12395</v>
      </c>
      <c r="N74">
        <v>39650</v>
      </c>
    </row>
    <row r="75" spans="1:14" x14ac:dyDescent="0.35">
      <c r="A75" s="1">
        <v>70109</v>
      </c>
      <c r="B75" s="1" t="s">
        <v>17</v>
      </c>
    </row>
    <row r="76" spans="1:14" x14ac:dyDescent="0.35">
      <c r="B76" t="s">
        <v>46</v>
      </c>
      <c r="C76">
        <v>0</v>
      </c>
      <c r="D76">
        <v>86</v>
      </c>
      <c r="E76">
        <v>122</v>
      </c>
      <c r="F76">
        <v>132</v>
      </c>
      <c r="G76">
        <v>138</v>
      </c>
      <c r="H76">
        <v>147</v>
      </c>
      <c r="I76">
        <v>155</v>
      </c>
      <c r="J76">
        <v>163</v>
      </c>
      <c r="K76">
        <v>170</v>
      </c>
      <c r="L76">
        <v>178</v>
      </c>
      <c r="M76">
        <v>478</v>
      </c>
      <c r="N76">
        <v>1290</v>
      </c>
    </row>
    <row r="77" spans="1:14" x14ac:dyDescent="0.35">
      <c r="A77" s="1">
        <v>70110</v>
      </c>
      <c r="B77" s="17" t="s">
        <v>49</v>
      </c>
      <c r="C77" s="17"/>
    </row>
    <row r="78" spans="1:14" x14ac:dyDescent="0.35">
      <c r="B78" t="s">
        <v>46</v>
      </c>
      <c r="C78">
        <v>0</v>
      </c>
      <c r="D78">
        <v>13419</v>
      </c>
      <c r="E78">
        <v>23707</v>
      </c>
      <c r="F78">
        <v>24907</v>
      </c>
      <c r="G78">
        <v>25815</v>
      </c>
      <c r="H78">
        <v>26723</v>
      </c>
      <c r="I78">
        <v>27702</v>
      </c>
      <c r="J78">
        <v>28710</v>
      </c>
      <c r="K78">
        <v>29761</v>
      </c>
      <c r="L78">
        <v>30810</v>
      </c>
      <c r="M78">
        <v>87848</v>
      </c>
      <c r="N78">
        <v>231553</v>
      </c>
    </row>
    <row r="79" spans="1:14" x14ac:dyDescent="0.35">
      <c r="A79" s="1">
        <v>70111</v>
      </c>
      <c r="B79" s="17" t="s">
        <v>50</v>
      </c>
      <c r="C79" s="17"/>
    </row>
    <row r="80" spans="1:14" x14ac:dyDescent="0.35">
      <c r="B80" t="s">
        <v>46</v>
      </c>
      <c r="C80">
        <v>0</v>
      </c>
      <c r="D80">
        <v>-16040</v>
      </c>
      <c r="E80">
        <v>-26393</v>
      </c>
      <c r="F80">
        <v>-27635</v>
      </c>
      <c r="G80">
        <v>-28398</v>
      </c>
      <c r="H80">
        <v>-29264</v>
      </c>
      <c r="I80">
        <v>-30232</v>
      </c>
      <c r="J80">
        <v>-31309</v>
      </c>
      <c r="K80">
        <v>-32434</v>
      </c>
      <c r="L80">
        <v>-33811</v>
      </c>
      <c r="M80">
        <v>-98466</v>
      </c>
      <c r="N80">
        <v>-255515</v>
      </c>
    </row>
    <row r="81" spans="1:14" x14ac:dyDescent="0.35">
      <c r="A81" s="1">
        <v>70112</v>
      </c>
      <c r="B81" s="1" t="s">
        <v>51</v>
      </c>
    </row>
    <row r="82" spans="1:14" x14ac:dyDescent="0.35">
      <c r="B82" t="s">
        <v>46</v>
      </c>
      <c r="C82">
        <v>0</v>
      </c>
      <c r="D82">
        <v>-71</v>
      </c>
      <c r="E82">
        <v>-216</v>
      </c>
      <c r="F82">
        <v>-221</v>
      </c>
      <c r="G82">
        <v>-227</v>
      </c>
      <c r="H82">
        <v>-232</v>
      </c>
      <c r="I82">
        <v>-238</v>
      </c>
      <c r="J82">
        <v>-243</v>
      </c>
      <c r="K82">
        <v>-249</v>
      </c>
      <c r="L82">
        <v>-255</v>
      </c>
      <c r="M82">
        <v>-735</v>
      </c>
      <c r="N82">
        <v>-1951</v>
      </c>
    </row>
    <row r="83" spans="1:14" x14ac:dyDescent="0.35">
      <c r="A83" s="1">
        <v>70113</v>
      </c>
      <c r="B83" s="7" t="s">
        <v>15</v>
      </c>
    </row>
    <row r="84" spans="1:14" x14ac:dyDescent="0.35">
      <c r="B84" t="s">
        <v>46</v>
      </c>
      <c r="C84">
        <v>0</v>
      </c>
      <c r="D84">
        <v>673</v>
      </c>
      <c r="E84">
        <v>1375</v>
      </c>
      <c r="F84">
        <v>1434</v>
      </c>
      <c r="G84">
        <v>1509</v>
      </c>
      <c r="H84">
        <v>1586</v>
      </c>
      <c r="I84">
        <v>1650</v>
      </c>
      <c r="J84">
        <v>1717</v>
      </c>
      <c r="K84">
        <v>1789</v>
      </c>
      <c r="L84">
        <v>1862</v>
      </c>
      <c r="M84">
        <v>4991</v>
      </c>
      <c r="N84">
        <v>13594</v>
      </c>
    </row>
    <row r="85" spans="1:14" x14ac:dyDescent="0.35">
      <c r="A85" s="1">
        <v>70114</v>
      </c>
      <c r="B85" s="1" t="s">
        <v>17</v>
      </c>
    </row>
    <row r="86" spans="1:14" x14ac:dyDescent="0.35">
      <c r="B86" t="s">
        <v>46</v>
      </c>
      <c r="C86">
        <v>0</v>
      </c>
      <c r="D86">
        <v>1</v>
      </c>
      <c r="E86">
        <v>125</v>
      </c>
      <c r="F86">
        <v>128</v>
      </c>
      <c r="G86">
        <v>133</v>
      </c>
      <c r="H86">
        <v>139</v>
      </c>
      <c r="I86">
        <v>145</v>
      </c>
      <c r="J86">
        <v>150</v>
      </c>
      <c r="K86">
        <v>157</v>
      </c>
      <c r="L86">
        <v>165</v>
      </c>
      <c r="M86">
        <v>387</v>
      </c>
      <c r="N86">
        <v>1144</v>
      </c>
    </row>
    <row r="87" spans="1:14" x14ac:dyDescent="0.35">
      <c r="A87" s="1">
        <v>70115</v>
      </c>
      <c r="B87" s="1" t="s">
        <v>10</v>
      </c>
    </row>
    <row r="88" spans="1:14" x14ac:dyDescent="0.35">
      <c r="B88" t="s">
        <v>46</v>
      </c>
      <c r="C88">
        <v>0</v>
      </c>
      <c r="D88" t="s">
        <v>20</v>
      </c>
      <c r="E88" t="s">
        <v>20</v>
      </c>
      <c r="F88" t="s">
        <v>20</v>
      </c>
      <c r="G88" t="s">
        <v>20</v>
      </c>
      <c r="H88">
        <v>-1</v>
      </c>
      <c r="I88">
        <v>-1</v>
      </c>
      <c r="J88">
        <v>-1</v>
      </c>
      <c r="K88">
        <v>-1</v>
      </c>
      <c r="L88">
        <v>-2</v>
      </c>
      <c r="M88" t="s">
        <v>20</v>
      </c>
      <c r="N88">
        <v>-6</v>
      </c>
    </row>
    <row r="89" spans="1:14" x14ac:dyDescent="0.35">
      <c r="A89" s="2">
        <v>70116</v>
      </c>
      <c r="B89" s="2" t="s">
        <v>21</v>
      </c>
    </row>
    <row r="90" spans="1:14" x14ac:dyDescent="0.35">
      <c r="B90" t="s">
        <v>46</v>
      </c>
      <c r="C90">
        <v>0</v>
      </c>
      <c r="D90" t="s">
        <v>20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-3</v>
      </c>
      <c r="N90">
        <v>-8</v>
      </c>
    </row>
    <row r="91" spans="1:14" x14ac:dyDescent="0.35">
      <c r="A91" s="2">
        <v>70117</v>
      </c>
      <c r="B91" s="19" t="s">
        <v>23</v>
      </c>
      <c r="C91" s="19"/>
    </row>
    <row r="92" spans="1:14" x14ac:dyDescent="0.35">
      <c r="B92" t="s">
        <v>46</v>
      </c>
      <c r="C92">
        <v>0</v>
      </c>
      <c r="D92" t="s">
        <v>20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-2</v>
      </c>
      <c r="K92">
        <v>-2</v>
      </c>
      <c r="L92">
        <v>-2</v>
      </c>
      <c r="M92">
        <v>-3</v>
      </c>
      <c r="N92">
        <v>-11</v>
      </c>
    </row>
    <row r="93" spans="1:14" x14ac:dyDescent="0.35">
      <c r="A93" s="1">
        <v>70118</v>
      </c>
      <c r="B93" s="17" t="s">
        <v>52</v>
      </c>
      <c r="C93" s="17"/>
    </row>
    <row r="94" spans="1:14" x14ac:dyDescent="0.35">
      <c r="B94" t="s">
        <v>46</v>
      </c>
      <c r="C94">
        <v>0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-4</v>
      </c>
      <c r="N94">
        <v>-11</v>
      </c>
    </row>
    <row r="95" spans="1:14" x14ac:dyDescent="0.35">
      <c r="A95" s="1">
        <v>70119</v>
      </c>
      <c r="B95" s="17" t="s">
        <v>53</v>
      </c>
      <c r="C95" s="17"/>
    </row>
    <row r="96" spans="1:14" x14ac:dyDescent="0.35">
      <c r="B96" t="s">
        <v>46</v>
      </c>
      <c r="C96">
        <v>0</v>
      </c>
      <c r="D96">
        <v>0</v>
      </c>
      <c r="E96">
        <v>-44</v>
      </c>
      <c r="F96">
        <v>-45</v>
      </c>
      <c r="G96">
        <v>-46</v>
      </c>
      <c r="H96">
        <v>-48</v>
      </c>
      <c r="I96">
        <v>-49</v>
      </c>
      <c r="J96">
        <v>-50</v>
      </c>
      <c r="K96">
        <v>-51</v>
      </c>
      <c r="L96">
        <v>-53</v>
      </c>
      <c r="M96">
        <v>-135</v>
      </c>
      <c r="N96">
        <v>-386</v>
      </c>
    </row>
    <row r="97" spans="1:14" x14ac:dyDescent="0.35">
      <c r="A97" s="1">
        <v>70120</v>
      </c>
      <c r="B97" s="1" t="s">
        <v>24</v>
      </c>
    </row>
    <row r="98" spans="1:14" x14ac:dyDescent="0.35">
      <c r="B98" t="s">
        <v>46</v>
      </c>
      <c r="C98">
        <v>-5070</v>
      </c>
      <c r="D98">
        <v>31805</v>
      </c>
      <c r="E98">
        <v>78825</v>
      </c>
      <c r="F98">
        <v>79761</v>
      </c>
      <c r="G98">
        <v>84637</v>
      </c>
      <c r="H98">
        <v>106533</v>
      </c>
      <c r="I98">
        <v>134815</v>
      </c>
      <c r="J98">
        <v>137243</v>
      </c>
      <c r="K98">
        <v>144176</v>
      </c>
      <c r="L98">
        <v>151431</v>
      </c>
      <c r="M98">
        <v>269958</v>
      </c>
      <c r="N98">
        <v>944155</v>
      </c>
    </row>
    <row r="99" spans="1:14" x14ac:dyDescent="0.35">
      <c r="A99" s="1">
        <v>70201</v>
      </c>
      <c r="B99" s="1" t="s">
        <v>54</v>
      </c>
    </row>
    <row r="100" spans="1:14" x14ac:dyDescent="0.35">
      <c r="B100" t="s">
        <v>46</v>
      </c>
      <c r="C100">
        <v>0</v>
      </c>
      <c r="D100">
        <v>-10121</v>
      </c>
      <c r="E100">
        <v>-7664</v>
      </c>
      <c r="F100">
        <v>-8078</v>
      </c>
      <c r="G100">
        <v>-5262</v>
      </c>
      <c r="H100">
        <v>-90</v>
      </c>
      <c r="I100">
        <v>-98</v>
      </c>
      <c r="J100">
        <v>-107</v>
      </c>
      <c r="K100">
        <v>-117</v>
      </c>
      <c r="L100">
        <v>-127</v>
      </c>
      <c r="M100">
        <v>-31125</v>
      </c>
      <c r="N100">
        <v>-31664</v>
      </c>
    </row>
    <row r="101" spans="1:14" x14ac:dyDescent="0.35">
      <c r="A101" s="1">
        <v>70202</v>
      </c>
      <c r="B101" s="1" t="s">
        <v>55</v>
      </c>
    </row>
    <row r="102" spans="1:14" x14ac:dyDescent="0.35">
      <c r="B102" t="s">
        <v>46</v>
      </c>
      <c r="C102">
        <v>0</v>
      </c>
      <c r="D102">
        <v>-32806</v>
      </c>
      <c r="E102">
        <v>-25672</v>
      </c>
      <c r="F102">
        <v>-22982</v>
      </c>
      <c r="G102">
        <v>-8113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-89573</v>
      </c>
      <c r="N102">
        <v>-89573</v>
      </c>
    </row>
    <row r="103" spans="1:14" x14ac:dyDescent="0.35">
      <c r="A103" s="1">
        <v>70203</v>
      </c>
      <c r="B103" s="1" t="s">
        <v>56</v>
      </c>
    </row>
    <row r="104" spans="1:14" x14ac:dyDescent="0.35">
      <c r="B104" t="s">
        <v>46</v>
      </c>
      <c r="C104">
        <v>-1932</v>
      </c>
      <c r="D104">
        <v>-5400</v>
      </c>
      <c r="E104">
        <v>-8070</v>
      </c>
      <c r="F104">
        <v>-9916</v>
      </c>
      <c r="G104">
        <v>-5313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-30631</v>
      </c>
      <c r="N104">
        <v>-30631</v>
      </c>
    </row>
    <row r="105" spans="1:14" x14ac:dyDescent="0.35">
      <c r="A105" s="1">
        <v>70204</v>
      </c>
      <c r="B105" s="17" t="s">
        <v>25</v>
      </c>
      <c r="C105" s="17"/>
    </row>
    <row r="106" spans="1:14" x14ac:dyDescent="0.35">
      <c r="B106" t="s">
        <v>46</v>
      </c>
      <c r="C106">
        <v>0</v>
      </c>
      <c r="D106">
        <v>132</v>
      </c>
      <c r="E106">
        <v>86</v>
      </c>
      <c r="F106">
        <v>13</v>
      </c>
      <c r="G106">
        <v>-33</v>
      </c>
      <c r="H106">
        <v>-70</v>
      </c>
      <c r="I106">
        <v>-115</v>
      </c>
      <c r="J106">
        <v>-164</v>
      </c>
      <c r="K106">
        <v>-214</v>
      </c>
      <c r="L106">
        <v>-270</v>
      </c>
      <c r="M106">
        <v>198</v>
      </c>
      <c r="N106">
        <v>-634</v>
      </c>
    </row>
    <row r="107" spans="1:14" x14ac:dyDescent="0.35">
      <c r="A107" s="1">
        <v>70311</v>
      </c>
      <c r="B107" s="7" t="s">
        <v>66</v>
      </c>
    </row>
    <row r="108" spans="1:14" x14ac:dyDescent="0.35">
      <c r="B108" t="s">
        <v>46</v>
      </c>
      <c r="C108">
        <v>0</v>
      </c>
      <c r="D108">
        <v>-1347</v>
      </c>
      <c r="E108">
        <v>-2806</v>
      </c>
      <c r="F108">
        <v>-3070</v>
      </c>
      <c r="G108">
        <v>-3543</v>
      </c>
      <c r="H108">
        <v>-3707</v>
      </c>
      <c r="I108">
        <v>-3698</v>
      </c>
      <c r="J108">
        <v>-3775</v>
      </c>
      <c r="K108">
        <v>-3810</v>
      </c>
      <c r="L108">
        <v>-3975</v>
      </c>
      <c r="M108">
        <v>-10766</v>
      </c>
      <c r="N108">
        <v>-29730</v>
      </c>
    </row>
    <row r="109" spans="1:14" x14ac:dyDescent="0.35">
      <c r="A109" s="1">
        <v>70312</v>
      </c>
      <c r="B109" s="17" t="s">
        <v>67</v>
      </c>
      <c r="C109" s="17"/>
      <c r="D109" s="17"/>
    </row>
    <row r="110" spans="1:14" x14ac:dyDescent="0.35">
      <c r="B110" t="s">
        <v>46</v>
      </c>
      <c r="C110" t="s">
        <v>20</v>
      </c>
      <c r="D110">
        <v>-1476</v>
      </c>
      <c r="E110">
        <v>-3444</v>
      </c>
      <c r="F110">
        <v>-4036</v>
      </c>
      <c r="G110">
        <v>-3482</v>
      </c>
      <c r="H110">
        <v>-2561</v>
      </c>
      <c r="I110">
        <v>-2315</v>
      </c>
      <c r="J110">
        <v>-2441</v>
      </c>
      <c r="K110">
        <v>-2557</v>
      </c>
      <c r="L110">
        <v>-2405</v>
      </c>
      <c r="M110">
        <v>-12438</v>
      </c>
      <c r="N110">
        <v>-24716</v>
      </c>
    </row>
    <row r="111" spans="1:14" x14ac:dyDescent="0.35">
      <c r="A111" s="1">
        <v>70313</v>
      </c>
      <c r="B111" s="1" t="s">
        <v>68</v>
      </c>
    </row>
    <row r="112" spans="1:14" x14ac:dyDescent="0.35">
      <c r="B112" t="s">
        <v>46</v>
      </c>
      <c r="C112">
        <v>0</v>
      </c>
      <c r="D112">
        <v>-462</v>
      </c>
      <c r="E112">
        <v>-756</v>
      </c>
      <c r="F112">
        <v>-644</v>
      </c>
      <c r="G112">
        <v>-813</v>
      </c>
      <c r="H112">
        <v>-857</v>
      </c>
      <c r="I112">
        <v>-704</v>
      </c>
      <c r="J112">
        <v>-618</v>
      </c>
      <c r="K112">
        <v>-647</v>
      </c>
      <c r="L112">
        <v>-874</v>
      </c>
      <c r="M112">
        <v>-2675</v>
      </c>
      <c r="N112">
        <v>-6376</v>
      </c>
    </row>
    <row r="113" spans="1:14" x14ac:dyDescent="0.35">
      <c r="A113" s="1">
        <v>70321</v>
      </c>
      <c r="B113" s="17" t="s">
        <v>69</v>
      </c>
      <c r="C113" s="17"/>
      <c r="D113" s="17"/>
    </row>
    <row r="114" spans="1:14" x14ac:dyDescent="0.35">
      <c r="B114" t="s">
        <v>46</v>
      </c>
      <c r="C114">
        <v>0</v>
      </c>
      <c r="D114">
        <v>-4131</v>
      </c>
      <c r="E114">
        <v>-7871</v>
      </c>
      <c r="F114">
        <v>-8053</v>
      </c>
      <c r="G114">
        <v>-10963</v>
      </c>
      <c r="H114">
        <v>-11487</v>
      </c>
      <c r="I114">
        <v>-10024</v>
      </c>
      <c r="J114">
        <v>-11231</v>
      </c>
      <c r="K114">
        <v>-11910</v>
      </c>
      <c r="L114">
        <v>-11279</v>
      </c>
      <c r="M114">
        <v>-31018</v>
      </c>
      <c r="N114">
        <v>-86949</v>
      </c>
    </row>
    <row r="115" spans="1:14" x14ac:dyDescent="0.35">
      <c r="A115" s="1">
        <v>70322</v>
      </c>
      <c r="B115" s="17" t="s">
        <v>70</v>
      </c>
      <c r="C115" s="17"/>
    </row>
    <row r="116" spans="1:14" x14ac:dyDescent="0.35">
      <c r="B116" t="s">
        <v>46</v>
      </c>
      <c r="C116">
        <v>0</v>
      </c>
      <c r="D116">
        <v>-2080</v>
      </c>
      <c r="E116">
        <v>-3553</v>
      </c>
      <c r="F116">
        <v>-2684</v>
      </c>
      <c r="G116">
        <v>-1008</v>
      </c>
      <c r="H116">
        <v>391</v>
      </c>
      <c r="I116">
        <v>539</v>
      </c>
      <c r="J116">
        <v>474</v>
      </c>
      <c r="K116">
        <v>100</v>
      </c>
      <c r="L116">
        <v>227</v>
      </c>
      <c r="M116">
        <v>-9325</v>
      </c>
      <c r="N116">
        <v>-7595</v>
      </c>
    </row>
    <row r="117" spans="1:14" x14ac:dyDescent="0.35">
      <c r="A117" s="1">
        <v>70323</v>
      </c>
      <c r="B117" s="17" t="s">
        <v>71</v>
      </c>
      <c r="C117" s="17"/>
    </row>
    <row r="118" spans="1:14" x14ac:dyDescent="0.35">
      <c r="B118" t="s">
        <v>46</v>
      </c>
      <c r="C118">
        <v>0</v>
      </c>
      <c r="D118">
        <v>-394</v>
      </c>
      <c r="E118">
        <v>-1351</v>
      </c>
      <c r="F118">
        <v>-1602</v>
      </c>
      <c r="G118">
        <v>-741</v>
      </c>
      <c r="H118">
        <v>-462</v>
      </c>
      <c r="I118">
        <v>-536</v>
      </c>
      <c r="J118">
        <v>-396</v>
      </c>
      <c r="K118">
        <v>-549</v>
      </c>
      <c r="L118">
        <v>-608</v>
      </c>
      <c r="M118">
        <v>-4088</v>
      </c>
      <c r="N118">
        <v>-6639</v>
      </c>
    </row>
    <row r="119" spans="1:14" x14ac:dyDescent="0.35">
      <c r="A119" s="1">
        <v>70331</v>
      </c>
      <c r="B119" s="1" t="s">
        <v>72</v>
      </c>
    </row>
    <row r="120" spans="1:14" x14ac:dyDescent="0.35">
      <c r="B120" t="s">
        <v>46</v>
      </c>
      <c r="C120">
        <v>0</v>
      </c>
      <c r="D120">
        <v>-1861</v>
      </c>
      <c r="E120">
        <v>-2703</v>
      </c>
      <c r="F120">
        <v>-2110</v>
      </c>
      <c r="G120">
        <v>-3147</v>
      </c>
      <c r="H120">
        <v>-4030</v>
      </c>
      <c r="I120">
        <v>-4227</v>
      </c>
      <c r="J120">
        <v>-4137</v>
      </c>
      <c r="K120">
        <v>-4135</v>
      </c>
      <c r="L120">
        <v>-4209</v>
      </c>
      <c r="M120">
        <v>-9821</v>
      </c>
      <c r="N120">
        <v>-30559</v>
      </c>
    </row>
    <row r="121" spans="1:14" x14ac:dyDescent="0.35">
      <c r="A121" s="1">
        <v>70402</v>
      </c>
      <c r="B121" s="1" t="s">
        <v>27</v>
      </c>
    </row>
    <row r="122" spans="1:14" x14ac:dyDescent="0.35">
      <c r="B122" t="s">
        <v>46</v>
      </c>
      <c r="C122">
        <v>-4</v>
      </c>
      <c r="D122">
        <v>-9</v>
      </c>
      <c r="E122">
        <v>-8</v>
      </c>
      <c r="F122">
        <v>-8</v>
      </c>
      <c r="G122">
        <v>-5</v>
      </c>
      <c r="H122">
        <v>-5</v>
      </c>
      <c r="I122">
        <v>-6</v>
      </c>
      <c r="J122">
        <v>-6</v>
      </c>
      <c r="K122">
        <v>-6</v>
      </c>
      <c r="L122">
        <v>-7</v>
      </c>
      <c r="M122">
        <v>-34</v>
      </c>
      <c r="N122">
        <v>-65</v>
      </c>
    </row>
    <row r="123" spans="1:14" x14ac:dyDescent="0.35">
      <c r="A123" s="1">
        <v>70404</v>
      </c>
      <c r="B123" s="1" t="s">
        <v>29</v>
      </c>
    </row>
    <row r="124" spans="1:14" x14ac:dyDescent="0.35">
      <c r="B124" t="s">
        <v>46</v>
      </c>
      <c r="C124">
        <v>0</v>
      </c>
      <c r="D124">
        <v>-365</v>
      </c>
      <c r="E124">
        <v>-562</v>
      </c>
      <c r="F124">
        <v>-611</v>
      </c>
      <c r="G124">
        <v>-644</v>
      </c>
      <c r="H124">
        <v>-680</v>
      </c>
      <c r="I124">
        <v>-715</v>
      </c>
      <c r="J124">
        <v>-750</v>
      </c>
      <c r="K124">
        <v>-789</v>
      </c>
      <c r="L124">
        <v>-825</v>
      </c>
      <c r="M124">
        <v>-2182</v>
      </c>
      <c r="N124">
        <v>-5942</v>
      </c>
    </row>
    <row r="125" spans="1:14" x14ac:dyDescent="0.35">
      <c r="A125" s="1">
        <v>70405</v>
      </c>
      <c r="B125" s="1" t="s">
        <v>30</v>
      </c>
    </row>
    <row r="126" spans="1:14" x14ac:dyDescent="0.35">
      <c r="B126" t="s">
        <v>46</v>
      </c>
      <c r="C126">
        <v>0</v>
      </c>
      <c r="D126">
        <v>-409</v>
      </c>
      <c r="E126">
        <v>-814</v>
      </c>
      <c r="F126">
        <v>-788</v>
      </c>
      <c r="G126">
        <v>-767</v>
      </c>
      <c r="H126">
        <v>-742</v>
      </c>
      <c r="I126">
        <v>-707</v>
      </c>
      <c r="J126">
        <v>-674</v>
      </c>
      <c r="K126">
        <v>-639</v>
      </c>
      <c r="L126">
        <v>-606</v>
      </c>
      <c r="M126">
        <v>-2778</v>
      </c>
      <c r="N126">
        <v>-6145</v>
      </c>
    </row>
    <row r="127" spans="1:14" x14ac:dyDescent="0.35">
      <c r="A127" s="1">
        <v>70411</v>
      </c>
      <c r="B127" s="1" t="s">
        <v>80</v>
      </c>
    </row>
    <row r="128" spans="1:14" x14ac:dyDescent="0.35">
      <c r="B128" t="s">
        <v>46</v>
      </c>
      <c r="C128">
        <v>0</v>
      </c>
      <c r="D128">
        <v>0</v>
      </c>
      <c r="E128">
        <v>-501</v>
      </c>
      <c r="F128">
        <v>-2599</v>
      </c>
      <c r="G128">
        <v>-3062</v>
      </c>
      <c r="H128">
        <v>-3432</v>
      </c>
      <c r="I128">
        <v>-3725</v>
      </c>
      <c r="J128">
        <v>-4005</v>
      </c>
      <c r="K128">
        <v>-4201</v>
      </c>
      <c r="L128">
        <v>-4404</v>
      </c>
      <c r="M128">
        <v>-6162</v>
      </c>
      <c r="N128">
        <v>-25930</v>
      </c>
    </row>
    <row r="129" spans="1:14" x14ac:dyDescent="0.35">
      <c r="A129" s="1">
        <v>70413</v>
      </c>
      <c r="B129" s="17" t="s">
        <v>82</v>
      </c>
      <c r="C129" s="17"/>
    </row>
    <row r="130" spans="1:14" x14ac:dyDescent="0.35">
      <c r="B130" t="s">
        <v>46</v>
      </c>
      <c r="C130">
        <v>0</v>
      </c>
      <c r="D130">
        <v>-22</v>
      </c>
      <c r="E130">
        <v>-39</v>
      </c>
      <c r="F130">
        <v>-63</v>
      </c>
      <c r="G130">
        <v>-87</v>
      </c>
      <c r="H130">
        <v>-112</v>
      </c>
      <c r="I130">
        <v>-135</v>
      </c>
      <c r="J130">
        <v>-156</v>
      </c>
      <c r="K130">
        <v>-179</v>
      </c>
      <c r="L130">
        <v>-203</v>
      </c>
      <c r="M130">
        <v>-211</v>
      </c>
      <c r="N130">
        <v>-997</v>
      </c>
    </row>
    <row r="131" spans="1:14" x14ac:dyDescent="0.35">
      <c r="A131" s="1">
        <v>70421</v>
      </c>
      <c r="B131" s="1" t="s">
        <v>31</v>
      </c>
    </row>
    <row r="132" spans="1:14" x14ac:dyDescent="0.35">
      <c r="B132" t="s">
        <v>46</v>
      </c>
      <c r="C132">
        <v>0</v>
      </c>
      <c r="D132">
        <v>0</v>
      </c>
      <c r="E132">
        <v>-7868</v>
      </c>
      <c r="F132">
        <v>-12009</v>
      </c>
      <c r="G132">
        <v>-10427</v>
      </c>
      <c r="H132">
        <v>-5628</v>
      </c>
      <c r="I132">
        <v>-5860</v>
      </c>
      <c r="J132">
        <v>-3819</v>
      </c>
      <c r="K132">
        <v>2949</v>
      </c>
      <c r="L132">
        <v>1741</v>
      </c>
      <c r="M132">
        <v>-30304</v>
      </c>
      <c r="N132">
        <v>-40924</v>
      </c>
    </row>
    <row r="133" spans="1:14" x14ac:dyDescent="0.35">
      <c r="A133" s="1">
        <v>70422</v>
      </c>
      <c r="B133" s="1" t="s">
        <v>85</v>
      </c>
    </row>
    <row r="134" spans="1:14" x14ac:dyDescent="0.35">
      <c r="B134" t="s">
        <v>46</v>
      </c>
      <c r="C134">
        <v>0</v>
      </c>
      <c r="D134">
        <v>-39</v>
      </c>
      <c r="E134">
        <v>-217</v>
      </c>
      <c r="F134">
        <v>-579</v>
      </c>
      <c r="G134">
        <v>-1060</v>
      </c>
      <c r="H134">
        <v>-1591</v>
      </c>
      <c r="I134">
        <v>-2149</v>
      </c>
      <c r="J134">
        <v>-2735</v>
      </c>
      <c r="K134">
        <v>-3345</v>
      </c>
      <c r="L134">
        <v>-3975</v>
      </c>
      <c r="M134">
        <v>-1895</v>
      </c>
      <c r="N134">
        <v>-15689</v>
      </c>
    </row>
    <row r="135" spans="1:14" x14ac:dyDescent="0.35">
      <c r="A135" s="1">
        <v>70423</v>
      </c>
      <c r="B135" s="17" t="s">
        <v>86</v>
      </c>
      <c r="C135" s="17"/>
    </row>
    <row r="136" spans="1:14" x14ac:dyDescent="0.35">
      <c r="B136" t="s">
        <v>46</v>
      </c>
      <c r="C136">
        <v>0</v>
      </c>
      <c r="D136">
        <v>0</v>
      </c>
      <c r="E136">
        <v>-8</v>
      </c>
      <c r="F136">
        <v>-47</v>
      </c>
      <c r="G136">
        <v>-170</v>
      </c>
      <c r="H136">
        <v>-371</v>
      </c>
      <c r="I136">
        <v>-625</v>
      </c>
      <c r="J136">
        <v>-936</v>
      </c>
      <c r="K136">
        <v>-1307</v>
      </c>
      <c r="L136">
        <v>-1720</v>
      </c>
      <c r="M136">
        <v>-225</v>
      </c>
      <c r="N136">
        <v>-5185</v>
      </c>
    </row>
    <row r="137" spans="1:14" x14ac:dyDescent="0.35">
      <c r="A137" s="1">
        <v>70424</v>
      </c>
      <c r="B137" s="17" t="s">
        <v>87</v>
      </c>
      <c r="C137" s="17"/>
    </row>
    <row r="138" spans="1:14" x14ac:dyDescent="0.35">
      <c r="B138" t="s">
        <v>46</v>
      </c>
      <c r="C138">
        <v>0</v>
      </c>
      <c r="D138">
        <v>-1543</v>
      </c>
      <c r="E138">
        <v>-7791</v>
      </c>
      <c r="F138">
        <v>-8149</v>
      </c>
      <c r="G138">
        <v>-8498</v>
      </c>
      <c r="H138">
        <v>-8982</v>
      </c>
      <c r="I138">
        <v>-9270</v>
      </c>
      <c r="J138">
        <v>-9559</v>
      </c>
      <c r="K138">
        <v>-9845</v>
      </c>
      <c r="L138">
        <v>-10112</v>
      </c>
      <c r="M138">
        <v>-25981</v>
      </c>
      <c r="N138">
        <v>-73750</v>
      </c>
    </row>
    <row r="139" spans="1:14" x14ac:dyDescent="0.35">
      <c r="A139" s="1">
        <v>70425</v>
      </c>
      <c r="B139" s="17" t="s">
        <v>88</v>
      </c>
      <c r="C139" s="17"/>
    </row>
    <row r="140" spans="1:14" x14ac:dyDescent="0.35">
      <c r="B140" t="s">
        <v>46</v>
      </c>
      <c r="C140">
        <v>0</v>
      </c>
      <c r="D140">
        <v>1346</v>
      </c>
      <c r="E140">
        <v>7083</v>
      </c>
      <c r="F140">
        <v>7212</v>
      </c>
      <c r="G140">
        <v>7364</v>
      </c>
      <c r="H140">
        <v>7568</v>
      </c>
      <c r="I140">
        <v>7791</v>
      </c>
      <c r="J140">
        <v>8017</v>
      </c>
      <c r="K140">
        <v>8238</v>
      </c>
      <c r="L140">
        <v>8488</v>
      </c>
      <c r="M140">
        <v>23005</v>
      </c>
      <c r="N140">
        <v>63107</v>
      </c>
    </row>
    <row r="141" spans="1:14" x14ac:dyDescent="0.35">
      <c r="A141" s="1">
        <v>70430</v>
      </c>
      <c r="B141" s="17" t="s">
        <v>90</v>
      </c>
      <c r="C141" s="17"/>
    </row>
    <row r="142" spans="1:14" x14ac:dyDescent="0.35">
      <c r="B142" t="s">
        <v>46</v>
      </c>
      <c r="C142">
        <v>0</v>
      </c>
      <c r="D142">
        <v>-638</v>
      </c>
      <c r="E142">
        <v>-557</v>
      </c>
      <c r="F142">
        <v>-330</v>
      </c>
      <c r="G142">
        <v>-214</v>
      </c>
      <c r="H142">
        <v>-109</v>
      </c>
      <c r="I142">
        <v>-77</v>
      </c>
      <c r="J142">
        <v>-77</v>
      </c>
      <c r="K142">
        <v>-79</v>
      </c>
      <c r="L142">
        <v>-80</v>
      </c>
      <c r="M142">
        <v>-1739</v>
      </c>
      <c r="N142">
        <v>-2161</v>
      </c>
    </row>
    <row r="143" spans="1:14" x14ac:dyDescent="0.35">
      <c r="A143" s="16">
        <v>70501</v>
      </c>
      <c r="B143" t="s">
        <v>33</v>
      </c>
    </row>
    <row r="144" spans="1:14" x14ac:dyDescent="0.35">
      <c r="B144" t="s">
        <v>46</v>
      </c>
      <c r="C144">
        <v>0</v>
      </c>
      <c r="D144">
        <v>150</v>
      </c>
      <c r="E144">
        <v>608</v>
      </c>
      <c r="F144">
        <v>759</v>
      </c>
      <c r="G144">
        <v>1207</v>
      </c>
      <c r="H144">
        <v>1590</v>
      </c>
      <c r="I144">
        <v>1816</v>
      </c>
      <c r="J144">
        <v>2229</v>
      </c>
      <c r="K144">
        <v>2044</v>
      </c>
      <c r="L144">
        <v>0</v>
      </c>
      <c r="M144">
        <v>2724</v>
      </c>
      <c r="N144">
        <v>10402</v>
      </c>
    </row>
    <row r="145" spans="1:14" x14ac:dyDescent="0.35">
      <c r="A145" s="16">
        <v>70502</v>
      </c>
      <c r="B145" t="s">
        <v>34</v>
      </c>
    </row>
    <row r="146" spans="1:14" x14ac:dyDescent="0.35">
      <c r="B146" t="s">
        <v>46</v>
      </c>
      <c r="C146">
        <v>0</v>
      </c>
      <c r="D146">
        <v>107</v>
      </c>
      <c r="E146">
        <v>325</v>
      </c>
      <c r="F146">
        <v>789</v>
      </c>
      <c r="G146">
        <v>1303</v>
      </c>
      <c r="H146">
        <v>1557</v>
      </c>
      <c r="I146">
        <v>1745</v>
      </c>
      <c r="J146">
        <v>1957</v>
      </c>
      <c r="K146">
        <v>0</v>
      </c>
      <c r="L146">
        <v>0</v>
      </c>
      <c r="M146">
        <v>2524</v>
      </c>
      <c r="N146">
        <v>7783</v>
      </c>
    </row>
    <row r="147" spans="1:14" x14ac:dyDescent="0.35">
      <c r="A147" s="16">
        <v>70503</v>
      </c>
      <c r="B147" t="s">
        <v>100</v>
      </c>
    </row>
    <row r="148" spans="1:14" x14ac:dyDescent="0.35">
      <c r="B148" t="s">
        <v>46</v>
      </c>
      <c r="C148">
        <v>0</v>
      </c>
      <c r="D148">
        <v>8303</v>
      </c>
      <c r="E148">
        <v>9985</v>
      </c>
      <c r="F148">
        <v>12184</v>
      </c>
      <c r="G148">
        <v>14576</v>
      </c>
      <c r="H148">
        <v>17053</v>
      </c>
      <c r="I148">
        <v>18653</v>
      </c>
      <c r="J148">
        <v>20762</v>
      </c>
      <c r="K148">
        <v>3620</v>
      </c>
      <c r="L148">
        <v>-621</v>
      </c>
      <c r="M148">
        <v>45048</v>
      </c>
      <c r="N148">
        <v>104516</v>
      </c>
    </row>
    <row r="149" spans="1:14" x14ac:dyDescent="0.35">
      <c r="A149" s="16">
        <v>70504</v>
      </c>
      <c r="B149" t="s">
        <v>101</v>
      </c>
    </row>
    <row r="150" spans="1:14" x14ac:dyDescent="0.35">
      <c r="B150" t="s">
        <v>46</v>
      </c>
      <c r="C150">
        <v>0</v>
      </c>
      <c r="D150">
        <v>20</v>
      </c>
      <c r="E150">
        <v>97</v>
      </c>
      <c r="F150">
        <v>195</v>
      </c>
      <c r="G150">
        <v>244</v>
      </c>
      <c r="H150">
        <v>279</v>
      </c>
      <c r="I150">
        <v>325</v>
      </c>
      <c r="J150">
        <v>378</v>
      </c>
      <c r="K150">
        <v>324</v>
      </c>
      <c r="L150">
        <v>102</v>
      </c>
      <c r="M150">
        <v>556</v>
      </c>
      <c r="N150">
        <v>1963</v>
      </c>
    </row>
    <row r="151" spans="1:14" x14ac:dyDescent="0.35">
      <c r="A151" s="16">
        <v>70505</v>
      </c>
      <c r="B151" t="s">
        <v>102</v>
      </c>
    </row>
    <row r="152" spans="1:14" x14ac:dyDescent="0.35">
      <c r="B152" t="s">
        <v>46</v>
      </c>
      <c r="C152">
        <v>0</v>
      </c>
      <c r="D152">
        <v>258</v>
      </c>
      <c r="E152">
        <v>2598</v>
      </c>
      <c r="F152">
        <v>2735</v>
      </c>
      <c r="G152">
        <v>2880</v>
      </c>
      <c r="H152">
        <v>3032</v>
      </c>
      <c r="I152">
        <v>3192</v>
      </c>
      <c r="J152">
        <v>3360</v>
      </c>
      <c r="K152">
        <v>3167</v>
      </c>
      <c r="L152">
        <v>0</v>
      </c>
      <c r="M152">
        <v>8471</v>
      </c>
      <c r="N152">
        <v>21222</v>
      </c>
    </row>
    <row r="153" spans="1:14" x14ac:dyDescent="0.35">
      <c r="A153" s="16">
        <v>70506</v>
      </c>
      <c r="B153" t="s">
        <v>103</v>
      </c>
    </row>
    <row r="154" spans="1:14" x14ac:dyDescent="0.35">
      <c r="B154" t="s">
        <v>46</v>
      </c>
      <c r="C154">
        <v>-142</v>
      </c>
      <c r="D154">
        <v>-753</v>
      </c>
      <c r="E154">
        <v>5486</v>
      </c>
      <c r="F154">
        <v>7942</v>
      </c>
      <c r="G154">
        <v>9321</v>
      </c>
      <c r="H154">
        <v>10135</v>
      </c>
      <c r="I154">
        <v>10853</v>
      </c>
      <c r="J154">
        <v>11526</v>
      </c>
      <c r="K154">
        <v>11943</v>
      </c>
      <c r="L154">
        <v>11048</v>
      </c>
      <c r="M154">
        <v>21854</v>
      </c>
      <c r="N154">
        <v>77361</v>
      </c>
    </row>
    <row r="155" spans="1:14" x14ac:dyDescent="0.35">
      <c r="A155" s="16">
        <v>70507</v>
      </c>
      <c r="B155" t="s">
        <v>104</v>
      </c>
    </row>
    <row r="156" spans="1:14" x14ac:dyDescent="0.35">
      <c r="B156" t="s">
        <v>46</v>
      </c>
      <c r="C156">
        <v>0</v>
      </c>
      <c r="D156">
        <v>0</v>
      </c>
      <c r="E156">
        <v>6</v>
      </c>
      <c r="F156">
        <v>16</v>
      </c>
      <c r="G156">
        <v>19</v>
      </c>
      <c r="H156">
        <v>19</v>
      </c>
      <c r="I156">
        <v>19</v>
      </c>
      <c r="J156">
        <v>19</v>
      </c>
      <c r="K156">
        <v>19</v>
      </c>
      <c r="L156">
        <v>19</v>
      </c>
      <c r="M156">
        <v>41</v>
      </c>
      <c r="N156">
        <v>134</v>
      </c>
    </row>
    <row r="157" spans="1:14" x14ac:dyDescent="0.35">
      <c r="A157" s="16">
        <v>70508</v>
      </c>
      <c r="B157" t="s">
        <v>105</v>
      </c>
    </row>
    <row r="158" spans="1:14" x14ac:dyDescent="0.35">
      <c r="B158" t="s">
        <v>46</v>
      </c>
      <c r="C158">
        <v>0</v>
      </c>
      <c r="D158">
        <v>104</v>
      </c>
      <c r="E158">
        <v>489</v>
      </c>
      <c r="F158">
        <v>719</v>
      </c>
      <c r="G158">
        <v>770</v>
      </c>
      <c r="H158">
        <v>807</v>
      </c>
      <c r="I158">
        <v>832</v>
      </c>
      <c r="J158">
        <v>840</v>
      </c>
      <c r="K158">
        <v>625</v>
      </c>
      <c r="L158">
        <v>259</v>
      </c>
      <c r="M158">
        <v>2082</v>
      </c>
      <c r="N158">
        <v>5444</v>
      </c>
    </row>
    <row r="159" spans="1:14" x14ac:dyDescent="0.35">
      <c r="A159" s="16">
        <v>70509</v>
      </c>
      <c r="B159" t="s">
        <v>106</v>
      </c>
    </row>
    <row r="160" spans="1:14" x14ac:dyDescent="0.35">
      <c r="B160" t="s">
        <v>46</v>
      </c>
      <c r="C160">
        <v>4</v>
      </c>
      <c r="D160">
        <v>57</v>
      </c>
      <c r="E160">
        <v>77</v>
      </c>
      <c r="F160">
        <v>63</v>
      </c>
      <c r="G160">
        <v>52</v>
      </c>
      <c r="H160">
        <v>45</v>
      </c>
      <c r="I160">
        <v>29</v>
      </c>
      <c r="J160">
        <v>7</v>
      </c>
      <c r="K160">
        <v>-5</v>
      </c>
      <c r="L160">
        <v>-1</v>
      </c>
      <c r="M160">
        <v>253</v>
      </c>
      <c r="N160">
        <v>324</v>
      </c>
    </row>
    <row r="161" spans="1:14" x14ac:dyDescent="0.35">
      <c r="A161" s="16">
        <v>70511</v>
      </c>
      <c r="B161" t="s">
        <v>35</v>
      </c>
    </row>
    <row r="162" spans="1:14" x14ac:dyDescent="0.35">
      <c r="B162" t="s">
        <v>46</v>
      </c>
      <c r="C162">
        <v>0</v>
      </c>
      <c r="D162">
        <v>0</v>
      </c>
      <c r="E162">
        <v>0</v>
      </c>
      <c r="F162">
        <v>0</v>
      </c>
      <c r="G162">
        <v>10</v>
      </c>
      <c r="H162">
        <v>59</v>
      </c>
      <c r="I162">
        <v>203</v>
      </c>
      <c r="J162">
        <v>527</v>
      </c>
      <c r="K162">
        <v>830</v>
      </c>
      <c r="L162">
        <v>1085</v>
      </c>
      <c r="M162">
        <v>10</v>
      </c>
      <c r="N162">
        <v>2714</v>
      </c>
    </row>
    <row r="163" spans="1:14" x14ac:dyDescent="0.35">
      <c r="A163" s="16">
        <v>70512</v>
      </c>
      <c r="B163" t="s">
        <v>36</v>
      </c>
    </row>
    <row r="164" spans="1:14" x14ac:dyDescent="0.35">
      <c r="B164" t="s">
        <v>46</v>
      </c>
      <c r="C164">
        <v>0</v>
      </c>
      <c r="D164">
        <v>0</v>
      </c>
      <c r="E164">
        <v>0</v>
      </c>
      <c r="F164">
        <v>110</v>
      </c>
      <c r="G164">
        <v>517</v>
      </c>
      <c r="H164">
        <v>1342</v>
      </c>
      <c r="I164">
        <v>2564</v>
      </c>
      <c r="J164">
        <v>4273</v>
      </c>
      <c r="K164">
        <v>6638</v>
      </c>
      <c r="L164">
        <v>9385</v>
      </c>
      <c r="M164">
        <v>627</v>
      </c>
      <c r="N164">
        <v>24829</v>
      </c>
    </row>
    <row r="165" spans="1:14" x14ac:dyDescent="0.35">
      <c r="A165" s="16">
        <v>70513</v>
      </c>
      <c r="B165" t="s">
        <v>36</v>
      </c>
    </row>
    <row r="166" spans="1:14" x14ac:dyDescent="0.35">
      <c r="B166" t="s">
        <v>46</v>
      </c>
      <c r="C166">
        <v>0</v>
      </c>
      <c r="D166">
        <v>281</v>
      </c>
      <c r="E166">
        <v>8019</v>
      </c>
      <c r="F166">
        <v>12148</v>
      </c>
      <c r="G166">
        <v>16550</v>
      </c>
      <c r="H166">
        <v>21572</v>
      </c>
      <c r="I166">
        <v>24392</v>
      </c>
      <c r="J166">
        <v>25660</v>
      </c>
      <c r="K166">
        <v>26832</v>
      </c>
      <c r="L166">
        <v>28574</v>
      </c>
      <c r="M166">
        <v>36998</v>
      </c>
      <c r="N166">
        <v>164026</v>
      </c>
    </row>
    <row r="167" spans="1:14" x14ac:dyDescent="0.35">
      <c r="A167" s="16">
        <v>70514</v>
      </c>
      <c r="B167" t="s">
        <v>37</v>
      </c>
    </row>
    <row r="168" spans="1:14" x14ac:dyDescent="0.35">
      <c r="B168" t="s">
        <v>46</v>
      </c>
      <c r="C168">
        <v>-27</v>
      </c>
      <c r="D168">
        <v>1731</v>
      </c>
      <c r="E168">
        <v>6205</v>
      </c>
      <c r="F168">
        <v>9078</v>
      </c>
      <c r="G168">
        <v>8667</v>
      </c>
      <c r="H168">
        <v>7689</v>
      </c>
      <c r="I168">
        <v>6000</v>
      </c>
      <c r="J168">
        <v>4871</v>
      </c>
      <c r="K168">
        <v>3824</v>
      </c>
      <c r="L168">
        <v>1178</v>
      </c>
      <c r="M168">
        <v>25654</v>
      </c>
      <c r="N168">
        <v>49217</v>
      </c>
    </row>
    <row r="169" spans="1:14" x14ac:dyDescent="0.35">
      <c r="A169" s="1">
        <v>70521</v>
      </c>
      <c r="B169" s="1" t="s">
        <v>107</v>
      </c>
    </row>
    <row r="170" spans="1:14" x14ac:dyDescent="0.35">
      <c r="B170" t="s">
        <v>46</v>
      </c>
      <c r="C170">
        <v>-26</v>
      </c>
      <c r="D170">
        <v>-1110</v>
      </c>
      <c r="E170">
        <v>-2093</v>
      </c>
      <c r="F170">
        <v>-6227</v>
      </c>
      <c r="G170">
        <v>-10455</v>
      </c>
      <c r="H170">
        <v>-5551</v>
      </c>
      <c r="I170">
        <v>-387</v>
      </c>
      <c r="J170">
        <v>52</v>
      </c>
      <c r="K170">
        <v>55</v>
      </c>
      <c r="L170">
        <v>58</v>
      </c>
      <c r="M170">
        <v>-19911</v>
      </c>
      <c r="N170">
        <v>-25683</v>
      </c>
    </row>
    <row r="171" spans="1:14" x14ac:dyDescent="0.35">
      <c r="A171" s="1">
        <v>70522</v>
      </c>
      <c r="B171" s="17" t="s">
        <v>108</v>
      </c>
      <c r="C171" s="17"/>
    </row>
    <row r="172" spans="1:14" x14ac:dyDescent="0.35">
      <c r="B172" t="s">
        <v>46</v>
      </c>
      <c r="C172">
        <v>-179</v>
      </c>
      <c r="D172">
        <v>-364</v>
      </c>
      <c r="E172">
        <v>-561</v>
      </c>
      <c r="F172">
        <v>-801</v>
      </c>
      <c r="G172">
        <v>-1084</v>
      </c>
      <c r="H172">
        <v>-1425</v>
      </c>
      <c r="I172">
        <v>-1797</v>
      </c>
      <c r="J172">
        <v>-2215</v>
      </c>
      <c r="K172">
        <v>-2666</v>
      </c>
      <c r="L172">
        <v>-3135</v>
      </c>
      <c r="M172">
        <v>-2989</v>
      </c>
      <c r="N172">
        <v>-14228</v>
      </c>
    </row>
    <row r="173" spans="1:14" x14ac:dyDescent="0.35">
      <c r="A173" s="1">
        <v>70601</v>
      </c>
      <c r="B173" s="17" t="s">
        <v>111</v>
      </c>
      <c r="C173" s="17"/>
    </row>
    <row r="174" spans="1:14" x14ac:dyDescent="0.35">
      <c r="B174" t="s">
        <v>46</v>
      </c>
      <c r="C174">
        <v>0</v>
      </c>
      <c r="D174">
        <v>107</v>
      </c>
      <c r="E174">
        <v>158</v>
      </c>
      <c r="F174">
        <v>91</v>
      </c>
      <c r="G174">
        <v>3434</v>
      </c>
      <c r="H174">
        <v>5090</v>
      </c>
      <c r="I174">
        <v>3058</v>
      </c>
      <c r="J174">
        <v>2502</v>
      </c>
      <c r="K174">
        <v>2119</v>
      </c>
      <c r="L174">
        <v>1860</v>
      </c>
      <c r="M174">
        <v>3790</v>
      </c>
      <c r="N174">
        <v>18417</v>
      </c>
    </row>
    <row r="175" spans="1:14" x14ac:dyDescent="0.35">
      <c r="A175" s="1">
        <v>70602</v>
      </c>
      <c r="B175" s="17" t="s">
        <v>112</v>
      </c>
      <c r="C175" s="17"/>
    </row>
    <row r="176" spans="1:14" x14ac:dyDescent="0.35">
      <c r="B176" t="s">
        <v>46</v>
      </c>
      <c r="C176">
        <v>338</v>
      </c>
      <c r="D176">
        <v>1612</v>
      </c>
      <c r="E176">
        <v>2304</v>
      </c>
      <c r="F176">
        <v>1949</v>
      </c>
      <c r="G176">
        <v>1564</v>
      </c>
      <c r="H176">
        <v>1147</v>
      </c>
      <c r="I176">
        <v>824</v>
      </c>
      <c r="J176">
        <v>856</v>
      </c>
      <c r="K176">
        <v>889</v>
      </c>
      <c r="L176">
        <v>923</v>
      </c>
      <c r="M176">
        <v>7767</v>
      </c>
      <c r="N176">
        <v>12406</v>
      </c>
    </row>
    <row r="177" spans="1:14" x14ac:dyDescent="0.35">
      <c r="A177" s="1">
        <v>70604</v>
      </c>
      <c r="B177" s="17" t="s">
        <v>114</v>
      </c>
      <c r="C177" s="17"/>
    </row>
    <row r="178" spans="1:14" x14ac:dyDescent="0.35">
      <c r="B178" t="s">
        <v>46</v>
      </c>
      <c r="C178">
        <v>0</v>
      </c>
      <c r="D178">
        <v>362</v>
      </c>
      <c r="E178">
        <v>893</v>
      </c>
      <c r="F178">
        <v>1089</v>
      </c>
      <c r="G178">
        <v>1138</v>
      </c>
      <c r="H178">
        <v>1190</v>
      </c>
      <c r="I178">
        <v>1242</v>
      </c>
      <c r="J178">
        <v>1295</v>
      </c>
      <c r="K178">
        <v>1351</v>
      </c>
      <c r="L178">
        <v>1409</v>
      </c>
      <c r="M178">
        <v>3482</v>
      </c>
      <c r="N178">
        <v>9969</v>
      </c>
    </row>
    <row r="179" spans="1:14" x14ac:dyDescent="0.35">
      <c r="A179" s="1">
        <v>70605</v>
      </c>
      <c r="B179" s="1" t="s">
        <v>39</v>
      </c>
    </row>
    <row r="180" spans="1:14" x14ac:dyDescent="0.35">
      <c r="B180" t="s">
        <v>46</v>
      </c>
      <c r="C180">
        <v>185</v>
      </c>
      <c r="D180">
        <v>752</v>
      </c>
      <c r="E180">
        <v>276</v>
      </c>
      <c r="F180">
        <v>15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1228</v>
      </c>
      <c r="N180">
        <v>1228</v>
      </c>
    </row>
    <row r="181" spans="1:14" x14ac:dyDescent="0.35">
      <c r="A181" s="1">
        <v>70606</v>
      </c>
      <c r="B181" s="17" t="s">
        <v>40</v>
      </c>
      <c r="C181" s="17"/>
    </row>
    <row r="182" spans="1:14" x14ac:dyDescent="0.35">
      <c r="B182" t="s">
        <v>46</v>
      </c>
      <c r="C182">
        <v>0</v>
      </c>
      <c r="D182">
        <v>15</v>
      </c>
      <c r="E182">
        <v>44</v>
      </c>
      <c r="F182">
        <v>46</v>
      </c>
      <c r="G182">
        <v>47</v>
      </c>
      <c r="H182">
        <v>47</v>
      </c>
      <c r="I182">
        <v>48</v>
      </c>
      <c r="J182">
        <v>48</v>
      </c>
      <c r="K182">
        <v>48</v>
      </c>
      <c r="L182">
        <v>49</v>
      </c>
      <c r="M182">
        <v>152</v>
      </c>
      <c r="N182">
        <v>392</v>
      </c>
    </row>
    <row r="183" spans="1:14" x14ac:dyDescent="0.35">
      <c r="A183" s="16">
        <v>71301</v>
      </c>
      <c r="B183" t="s">
        <v>41</v>
      </c>
    </row>
    <row r="184" spans="1:14" x14ac:dyDescent="0.35">
      <c r="B184" t="s">
        <v>115</v>
      </c>
      <c r="C184">
        <v>0</v>
      </c>
      <c r="D184">
        <v>0</v>
      </c>
      <c r="E184">
        <v>374</v>
      </c>
      <c r="F184">
        <v>544</v>
      </c>
      <c r="G184">
        <v>578</v>
      </c>
      <c r="H184">
        <v>611</v>
      </c>
      <c r="I184">
        <v>642</v>
      </c>
      <c r="J184">
        <v>664</v>
      </c>
      <c r="K184">
        <v>674</v>
      </c>
      <c r="L184">
        <v>684</v>
      </c>
      <c r="M184">
        <v>1496</v>
      </c>
      <c r="N184">
        <v>4771</v>
      </c>
    </row>
    <row r="185" spans="1:14" x14ac:dyDescent="0.35">
      <c r="A185" s="16">
        <v>71302</v>
      </c>
      <c r="B185" t="s">
        <v>42</v>
      </c>
    </row>
    <row r="186" spans="1:14" x14ac:dyDescent="0.35">
      <c r="B186" t="s">
        <v>115</v>
      </c>
      <c r="C186">
        <v>0</v>
      </c>
      <c r="D186">
        <v>11</v>
      </c>
      <c r="E186">
        <v>16</v>
      </c>
      <c r="F186">
        <v>18</v>
      </c>
      <c r="G186">
        <v>18</v>
      </c>
      <c r="H186">
        <v>20</v>
      </c>
      <c r="I186">
        <v>22</v>
      </c>
      <c r="J186">
        <v>23</v>
      </c>
      <c r="K186">
        <v>24</v>
      </c>
      <c r="L186">
        <v>24</v>
      </c>
      <c r="M186">
        <v>63</v>
      </c>
      <c r="N186">
        <v>176</v>
      </c>
    </row>
    <row r="187" spans="1:14" x14ac:dyDescent="0.35">
      <c r="A187" s="1">
        <v>71303</v>
      </c>
      <c r="B187" s="1" t="s">
        <v>43</v>
      </c>
    </row>
    <row r="188" spans="1:14" x14ac:dyDescent="0.35">
      <c r="B188" t="s">
        <v>115</v>
      </c>
      <c r="C188">
        <v>0</v>
      </c>
      <c r="D188">
        <v>0</v>
      </c>
      <c r="E188">
        <v>0</v>
      </c>
      <c r="F188">
        <v>402</v>
      </c>
      <c r="G188">
        <v>585</v>
      </c>
      <c r="H188">
        <v>607</v>
      </c>
      <c r="I188">
        <v>637</v>
      </c>
      <c r="J188">
        <v>675</v>
      </c>
      <c r="K188">
        <v>716</v>
      </c>
      <c r="L188">
        <v>762</v>
      </c>
      <c r="M188">
        <v>987</v>
      </c>
      <c r="N188">
        <v>4384</v>
      </c>
    </row>
    <row r="189" spans="1:14" x14ac:dyDescent="0.35">
      <c r="A189" s="1">
        <v>71304</v>
      </c>
      <c r="B189" s="17" t="s">
        <v>44</v>
      </c>
      <c r="C189" s="17"/>
      <c r="D189" s="17"/>
    </row>
    <row r="190" spans="1:14" x14ac:dyDescent="0.35">
      <c r="B190" t="s">
        <v>115</v>
      </c>
      <c r="C190">
        <v>0</v>
      </c>
      <c r="D190">
        <v>52</v>
      </c>
      <c r="E190">
        <v>105</v>
      </c>
      <c r="F190">
        <v>144</v>
      </c>
      <c r="G190">
        <v>155</v>
      </c>
      <c r="H190">
        <v>153</v>
      </c>
      <c r="I190">
        <v>156</v>
      </c>
      <c r="J190">
        <v>161</v>
      </c>
      <c r="K190">
        <v>187</v>
      </c>
      <c r="L190">
        <v>190</v>
      </c>
      <c r="M190">
        <v>456</v>
      </c>
      <c r="N190">
        <v>1303</v>
      </c>
    </row>
    <row r="191" spans="1:14" x14ac:dyDescent="0.35">
      <c r="A191" s="16">
        <v>71305</v>
      </c>
      <c r="B191" t="s">
        <v>45</v>
      </c>
    </row>
    <row r="192" spans="1:14" x14ac:dyDescent="0.35">
      <c r="B192" t="s">
        <v>115</v>
      </c>
      <c r="C192">
        <v>0</v>
      </c>
      <c r="D192">
        <v>-1</v>
      </c>
      <c r="E192">
        <v>249</v>
      </c>
      <c r="F192">
        <v>230</v>
      </c>
      <c r="G192">
        <v>254</v>
      </c>
      <c r="H192">
        <v>272</v>
      </c>
      <c r="I192">
        <v>296</v>
      </c>
      <c r="J192">
        <v>310</v>
      </c>
      <c r="K192">
        <v>330</v>
      </c>
      <c r="L192">
        <v>340</v>
      </c>
      <c r="M192">
        <v>732</v>
      </c>
      <c r="N192">
        <v>2283</v>
      </c>
    </row>
    <row r="193" spans="1:14" x14ac:dyDescent="0.35">
      <c r="A193" s="1">
        <v>71306</v>
      </c>
      <c r="B193" s="17" t="s">
        <v>116</v>
      </c>
      <c r="C193" s="17"/>
    </row>
    <row r="194" spans="1:14" x14ac:dyDescent="0.35">
      <c r="B194" t="s">
        <v>115</v>
      </c>
      <c r="C194">
        <v>-7</v>
      </c>
      <c r="D194">
        <v>-121</v>
      </c>
      <c r="E194">
        <v>-298</v>
      </c>
      <c r="F194">
        <v>-414</v>
      </c>
      <c r="G194">
        <v>-489</v>
      </c>
      <c r="H194">
        <v>-533</v>
      </c>
      <c r="I194">
        <v>-570</v>
      </c>
      <c r="J194">
        <v>-599</v>
      </c>
      <c r="K194">
        <v>-630</v>
      </c>
      <c r="L194">
        <v>-660</v>
      </c>
      <c r="M194">
        <v>-1329</v>
      </c>
      <c r="N194">
        <v>-4320</v>
      </c>
    </row>
    <row r="195" spans="1:14" x14ac:dyDescent="0.35">
      <c r="A195" s="1">
        <v>71307</v>
      </c>
      <c r="B195" s="1" t="s">
        <v>117</v>
      </c>
    </row>
    <row r="196" spans="1:14" x14ac:dyDescent="0.35">
      <c r="B196" t="s">
        <v>115</v>
      </c>
      <c r="C196">
        <v>0</v>
      </c>
      <c r="D196">
        <v>-127</v>
      </c>
      <c r="E196">
        <v>-286</v>
      </c>
      <c r="F196">
        <v>-373</v>
      </c>
      <c r="G196">
        <v>-431</v>
      </c>
      <c r="H196">
        <v>-438</v>
      </c>
      <c r="I196">
        <v>-451</v>
      </c>
      <c r="J196">
        <v>-469</v>
      </c>
      <c r="K196">
        <v>-490</v>
      </c>
      <c r="L196">
        <v>-499</v>
      </c>
      <c r="M196">
        <v>-1217</v>
      </c>
      <c r="N196">
        <v>-3563</v>
      </c>
    </row>
    <row r="197" spans="1:14" x14ac:dyDescent="0.35">
      <c r="A197" s="1">
        <v>71308</v>
      </c>
      <c r="B197" s="1" t="s">
        <v>118</v>
      </c>
    </row>
    <row r="198" spans="1:14" x14ac:dyDescent="0.35">
      <c r="B198" t="s">
        <v>115</v>
      </c>
      <c r="C198">
        <v>0</v>
      </c>
      <c r="D198">
        <v>-94</v>
      </c>
      <c r="E198">
        <v>-177</v>
      </c>
      <c r="F198">
        <v>-241</v>
      </c>
      <c r="G198">
        <v>-311</v>
      </c>
      <c r="H198">
        <v>-348</v>
      </c>
      <c r="I198">
        <v>-372</v>
      </c>
      <c r="J198">
        <v>-396</v>
      </c>
      <c r="K198">
        <v>-423</v>
      </c>
      <c r="L198">
        <v>-450</v>
      </c>
      <c r="M198">
        <v>-823</v>
      </c>
      <c r="N198">
        <v>-2811</v>
      </c>
    </row>
    <row r="199" spans="1:14" x14ac:dyDescent="0.35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</sheetData>
  <autoFilter ref="A2:N198" xr:uid="{23160E14-F205-4988-90FF-0B28B7973AA0}"/>
  <mergeCells count="33">
    <mergeCell ref="B193:C193"/>
    <mergeCell ref="B129:C129"/>
    <mergeCell ref="B135:C135"/>
    <mergeCell ref="B137:C137"/>
    <mergeCell ref="B139:C139"/>
    <mergeCell ref="B141:C141"/>
    <mergeCell ref="B171:C171"/>
    <mergeCell ref="B173:C173"/>
    <mergeCell ref="B175:C175"/>
    <mergeCell ref="B177:C177"/>
    <mergeCell ref="B181:C181"/>
    <mergeCell ref="B189:D189"/>
    <mergeCell ref="B105:C105"/>
    <mergeCell ref="B109:D109"/>
    <mergeCell ref="B113:D113"/>
    <mergeCell ref="B115:C115"/>
    <mergeCell ref="B117:C117"/>
    <mergeCell ref="B39:C39"/>
    <mergeCell ref="B47:C47"/>
    <mergeCell ref="B49:D49"/>
    <mergeCell ref="C1:N1"/>
    <mergeCell ref="B95:C95"/>
    <mergeCell ref="B51:C51"/>
    <mergeCell ref="B55:D55"/>
    <mergeCell ref="B57:C57"/>
    <mergeCell ref="B59:C59"/>
    <mergeCell ref="B63:C63"/>
    <mergeCell ref="B71:C71"/>
    <mergeCell ref="B73:C73"/>
    <mergeCell ref="B77:C77"/>
    <mergeCell ref="B79:C79"/>
    <mergeCell ref="B91:C91"/>
    <mergeCell ref="B93:C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AF1E6-2163-439F-95E4-BDF07386F4FB}">
  <dimension ref="A1:N75"/>
  <sheetViews>
    <sheetView zoomScaleNormal="100" workbookViewId="0">
      <selection activeCell="D10" sqref="D10"/>
    </sheetView>
  </sheetViews>
  <sheetFormatPr defaultRowHeight="14.5" x14ac:dyDescent="0.35"/>
  <cols>
    <col min="2" max="2" width="43.7265625" bestFit="1" customWidth="1"/>
  </cols>
  <sheetData>
    <row r="1" spans="1:14" x14ac:dyDescent="0.35">
      <c r="C1" s="18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35">
      <c r="A2" t="s">
        <v>0</v>
      </c>
      <c r="B2" t="s">
        <v>1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 t="s">
        <v>3</v>
      </c>
      <c r="N2" t="s">
        <v>4</v>
      </c>
    </row>
    <row r="3" spans="1:14" x14ac:dyDescent="0.35">
      <c r="A3" s="1">
        <v>70427</v>
      </c>
      <c r="B3" s="1" t="s">
        <v>32</v>
      </c>
    </row>
    <row r="4" spans="1:14" x14ac:dyDescent="0.35">
      <c r="B4" s="2" t="s">
        <v>9</v>
      </c>
      <c r="C4" s="3">
        <v>0</v>
      </c>
      <c r="D4" s="3">
        <v>251</v>
      </c>
      <c r="E4" s="3">
        <v>208</v>
      </c>
      <c r="F4" s="3">
        <v>208</v>
      </c>
      <c r="G4" s="3">
        <v>208</v>
      </c>
      <c r="H4" s="3">
        <v>208</v>
      </c>
      <c r="I4" s="3">
        <v>208</v>
      </c>
      <c r="J4" s="3">
        <v>208</v>
      </c>
      <c r="K4" s="3">
        <v>208</v>
      </c>
      <c r="L4" s="3">
        <v>208</v>
      </c>
      <c r="M4" s="6">
        <v>875</v>
      </c>
      <c r="N4" s="6">
        <v>1915</v>
      </c>
    </row>
    <row r="5" spans="1:14" x14ac:dyDescent="0.35">
      <c r="A5" s="1">
        <v>70531</v>
      </c>
      <c r="B5" s="1" t="s">
        <v>38</v>
      </c>
    </row>
    <row r="6" spans="1:14" x14ac:dyDescent="0.35">
      <c r="B6" s="2" t="s">
        <v>5</v>
      </c>
      <c r="C6" s="3">
        <v>0</v>
      </c>
      <c r="D6" s="3">
        <v>0</v>
      </c>
      <c r="E6" s="3">
        <v>-57</v>
      </c>
      <c r="F6" s="3">
        <v>-231</v>
      </c>
      <c r="G6" s="3">
        <v>-233</v>
      </c>
      <c r="H6" s="3">
        <v>-237</v>
      </c>
      <c r="I6" s="3">
        <v>-243</v>
      </c>
      <c r="J6" s="3">
        <v>0</v>
      </c>
      <c r="K6" s="3">
        <v>0</v>
      </c>
      <c r="L6" s="3">
        <v>0</v>
      </c>
      <c r="M6" s="6">
        <v>-521</v>
      </c>
      <c r="N6" s="6">
        <v>-1001</v>
      </c>
    </row>
    <row r="7" spans="1:14" x14ac:dyDescent="0.35">
      <c r="A7" s="1">
        <v>70605</v>
      </c>
      <c r="B7" s="1" t="s">
        <v>39</v>
      </c>
    </row>
    <row r="8" spans="1:14" x14ac:dyDescent="0.35">
      <c r="B8" s="2" t="s">
        <v>9</v>
      </c>
      <c r="C8" s="3">
        <v>-61</v>
      </c>
      <c r="D8" s="3">
        <v>-251</v>
      </c>
      <c r="E8" s="3">
        <v>-92</v>
      </c>
      <c r="F8" s="3">
        <v>-5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6">
        <v>-409</v>
      </c>
      <c r="N8" s="6">
        <v>-409</v>
      </c>
    </row>
    <row r="9" spans="1:14" s="21" customFormat="1" x14ac:dyDescent="0.35">
      <c r="A9" s="20">
        <v>70301</v>
      </c>
      <c r="B9" s="23" t="s">
        <v>57</v>
      </c>
      <c r="C9" s="23"/>
    </row>
    <row r="10" spans="1:14" s="21" customFormat="1" x14ac:dyDescent="0.35">
      <c r="B10" s="21" t="s">
        <v>46</v>
      </c>
      <c r="C10" s="21">
        <v>-33505</v>
      </c>
      <c r="D10" s="21">
        <v>-65123</v>
      </c>
      <c r="E10" s="21">
        <v>-65216</v>
      </c>
      <c r="F10" s="21">
        <v>-57507</v>
      </c>
      <c r="G10" s="21">
        <v>-40839</v>
      </c>
      <c r="H10" s="21">
        <v>-28972</v>
      </c>
      <c r="I10" s="21">
        <v>-21560</v>
      </c>
      <c r="J10" s="21">
        <v>-17802</v>
      </c>
      <c r="K10" s="21">
        <v>-16256</v>
      </c>
      <c r="L10" s="21">
        <v>-15871</v>
      </c>
      <c r="M10" s="21">
        <v>-262190</v>
      </c>
      <c r="N10" s="21">
        <v>-362650</v>
      </c>
    </row>
    <row r="11" spans="1:14" x14ac:dyDescent="0.35">
      <c r="A11" s="1">
        <v>70302</v>
      </c>
      <c r="B11" s="1" t="s">
        <v>58</v>
      </c>
    </row>
    <row r="12" spans="1:14" x14ac:dyDescent="0.35">
      <c r="B12" t="s">
        <v>46</v>
      </c>
      <c r="C12">
        <v>-53793</v>
      </c>
      <c r="D12">
        <v>-33585</v>
      </c>
      <c r="E12">
        <v>-20483</v>
      </c>
      <c r="F12">
        <v>-13794</v>
      </c>
      <c r="G12">
        <v>-7480</v>
      </c>
      <c r="H12">
        <v>-3186</v>
      </c>
      <c r="I12">
        <v>-2134</v>
      </c>
      <c r="J12">
        <v>-2240</v>
      </c>
      <c r="K12">
        <v>-2343</v>
      </c>
      <c r="L12">
        <v>-2424</v>
      </c>
      <c r="M12">
        <v>-129135</v>
      </c>
      <c r="N12">
        <v>-141463</v>
      </c>
    </row>
    <row r="13" spans="1:14" x14ac:dyDescent="0.35">
      <c r="A13" s="1">
        <v>70303</v>
      </c>
      <c r="B13" s="17" t="s">
        <v>59</v>
      </c>
      <c r="C13" s="17"/>
    </row>
    <row r="14" spans="1:14" x14ac:dyDescent="0.35">
      <c r="B14" t="s">
        <v>46</v>
      </c>
      <c r="C14">
        <v>-8268</v>
      </c>
      <c r="D14">
        <v>-6519</v>
      </c>
      <c r="E14">
        <v>-6183</v>
      </c>
      <c r="F14">
        <v>-5673</v>
      </c>
      <c r="G14">
        <v>-5260</v>
      </c>
      <c r="H14">
        <v>-5278</v>
      </c>
      <c r="I14">
        <v>-5507</v>
      </c>
      <c r="J14">
        <v>-5529</v>
      </c>
      <c r="K14">
        <v>-6043</v>
      </c>
      <c r="L14">
        <v>-6250</v>
      </c>
      <c r="M14">
        <v>-31903</v>
      </c>
      <c r="N14">
        <v>-60511</v>
      </c>
    </row>
    <row r="15" spans="1:14" x14ac:dyDescent="0.35">
      <c r="A15" s="1">
        <v>70304</v>
      </c>
      <c r="B15" s="17" t="s">
        <v>60</v>
      </c>
      <c r="C15" s="17"/>
    </row>
    <row r="16" spans="1:14" x14ac:dyDescent="0.35">
      <c r="B16" t="s">
        <v>46</v>
      </c>
      <c r="C16">
        <v>0</v>
      </c>
      <c r="D16">
        <v>-102</v>
      </c>
      <c r="E16">
        <v>-260</v>
      </c>
      <c r="F16">
        <v>-379</v>
      </c>
      <c r="G16">
        <v>-489</v>
      </c>
      <c r="H16">
        <v>-610</v>
      </c>
      <c r="I16">
        <v>-737</v>
      </c>
      <c r="J16">
        <v>-870</v>
      </c>
      <c r="K16">
        <v>-972</v>
      </c>
      <c r="L16">
        <v>-1036</v>
      </c>
      <c r="M16">
        <v>-1230</v>
      </c>
      <c r="N16">
        <v>-5454</v>
      </c>
    </row>
    <row r="17" spans="1:14" x14ac:dyDescent="0.35">
      <c r="A17" s="1">
        <v>70305</v>
      </c>
      <c r="B17" s="1" t="s">
        <v>61</v>
      </c>
    </row>
    <row r="18" spans="1:14" x14ac:dyDescent="0.35">
      <c r="B18" t="s">
        <v>46</v>
      </c>
      <c r="C18">
        <v>0</v>
      </c>
      <c r="D18">
        <v>-42</v>
      </c>
      <c r="E18">
        <v>-96</v>
      </c>
      <c r="F18">
        <v>-100</v>
      </c>
      <c r="G18">
        <v>-106</v>
      </c>
      <c r="H18">
        <v>-112</v>
      </c>
      <c r="I18">
        <v>-116</v>
      </c>
      <c r="J18">
        <v>-120</v>
      </c>
      <c r="K18">
        <v>-125</v>
      </c>
      <c r="L18">
        <v>-131</v>
      </c>
      <c r="M18">
        <v>-344</v>
      </c>
      <c r="N18">
        <v>-948</v>
      </c>
    </row>
    <row r="19" spans="1:14" x14ac:dyDescent="0.35">
      <c r="A19" s="1">
        <v>70306</v>
      </c>
      <c r="B19" s="1" t="s">
        <v>62</v>
      </c>
    </row>
    <row r="20" spans="1:14" x14ac:dyDescent="0.35">
      <c r="B20" t="s">
        <v>46</v>
      </c>
      <c r="C20">
        <v>-2301</v>
      </c>
      <c r="D20">
        <v>-4292</v>
      </c>
      <c r="E20">
        <v>-3613</v>
      </c>
      <c r="F20">
        <v>-2995</v>
      </c>
      <c r="G20">
        <v>-2516</v>
      </c>
      <c r="H20">
        <v>-2116</v>
      </c>
      <c r="I20">
        <v>-1873</v>
      </c>
      <c r="J20">
        <v>-1757</v>
      </c>
      <c r="K20">
        <v>-1697</v>
      </c>
      <c r="L20">
        <v>-1662</v>
      </c>
      <c r="M20">
        <v>-15717</v>
      </c>
      <c r="N20">
        <v>-24822</v>
      </c>
    </row>
    <row r="21" spans="1:14" x14ac:dyDescent="0.35">
      <c r="A21" s="1">
        <v>70307</v>
      </c>
      <c r="B21" s="1" t="s">
        <v>63</v>
      </c>
    </row>
    <row r="22" spans="1:14" x14ac:dyDescent="0.35">
      <c r="B22" t="s">
        <v>46</v>
      </c>
      <c r="C22">
        <v>-2167</v>
      </c>
      <c r="D22">
        <v>-30280</v>
      </c>
      <c r="E22">
        <v>-34374</v>
      </c>
      <c r="F22">
        <v>-33959</v>
      </c>
      <c r="G22">
        <v>-28524</v>
      </c>
      <c r="H22">
        <v>-18339</v>
      </c>
      <c r="I22">
        <v>-4229</v>
      </c>
      <c r="J22">
        <v>1926</v>
      </c>
      <c r="K22">
        <v>3950</v>
      </c>
      <c r="L22">
        <v>4600</v>
      </c>
      <c r="M22">
        <v>-129304</v>
      </c>
      <c r="N22">
        <v>-141396</v>
      </c>
    </row>
    <row r="23" spans="1:14" x14ac:dyDescent="0.35">
      <c r="A23" s="1">
        <v>70308</v>
      </c>
      <c r="B23" s="1" t="s">
        <v>64</v>
      </c>
    </row>
    <row r="24" spans="1:14" x14ac:dyDescent="0.35">
      <c r="B24" t="s">
        <v>46</v>
      </c>
      <c r="C24">
        <v>0</v>
      </c>
      <c r="D24">
        <v>-1728</v>
      </c>
      <c r="E24">
        <v>-2876</v>
      </c>
      <c r="F24">
        <v>-3566</v>
      </c>
      <c r="G24">
        <v>-2140</v>
      </c>
      <c r="H24">
        <v>-858</v>
      </c>
      <c r="I24">
        <v>-1024</v>
      </c>
      <c r="J24">
        <v>-1057</v>
      </c>
      <c r="K24">
        <v>-868</v>
      </c>
      <c r="L24">
        <v>-794</v>
      </c>
      <c r="M24">
        <v>-10310</v>
      </c>
      <c r="N24">
        <v>-14911</v>
      </c>
    </row>
    <row r="25" spans="1:14" x14ac:dyDescent="0.35">
      <c r="A25" s="1">
        <v>70309</v>
      </c>
      <c r="B25" s="1" t="s">
        <v>65</v>
      </c>
    </row>
    <row r="26" spans="1:14" x14ac:dyDescent="0.35">
      <c r="B26" t="s">
        <v>46</v>
      </c>
      <c r="C26">
        <v>0</v>
      </c>
      <c r="D26">
        <v>-11</v>
      </c>
      <c r="E26">
        <v>-35</v>
      </c>
      <c r="F26">
        <v>-68</v>
      </c>
      <c r="G26">
        <v>-98</v>
      </c>
      <c r="H26">
        <v>-123</v>
      </c>
      <c r="I26">
        <v>-142</v>
      </c>
      <c r="J26">
        <v>-162</v>
      </c>
      <c r="K26">
        <v>-183</v>
      </c>
      <c r="L26">
        <v>-204</v>
      </c>
      <c r="M26">
        <v>-212</v>
      </c>
      <c r="N26">
        <v>-1026</v>
      </c>
    </row>
    <row r="27" spans="1:14" x14ac:dyDescent="0.35">
      <c r="A27" s="1">
        <v>70341</v>
      </c>
      <c r="B27" s="17" t="s">
        <v>73</v>
      </c>
      <c r="C27" s="17"/>
    </row>
    <row r="28" spans="1:14" x14ac:dyDescent="0.35">
      <c r="B28" t="s">
        <v>46</v>
      </c>
      <c r="C28">
        <v>0</v>
      </c>
      <c r="D28">
        <v>360</v>
      </c>
      <c r="E28">
        <v>887</v>
      </c>
      <c r="F28">
        <v>1142</v>
      </c>
      <c r="G28">
        <v>1277</v>
      </c>
      <c r="H28">
        <v>1373</v>
      </c>
      <c r="I28">
        <v>1473</v>
      </c>
      <c r="J28">
        <v>1575</v>
      </c>
      <c r="K28">
        <v>1680</v>
      </c>
      <c r="L28">
        <v>1789</v>
      </c>
      <c r="M28">
        <v>3666</v>
      </c>
      <c r="N28">
        <v>11557</v>
      </c>
    </row>
    <row r="29" spans="1:14" x14ac:dyDescent="0.35">
      <c r="A29" s="1">
        <v>70342</v>
      </c>
      <c r="B29" s="1" t="s">
        <v>74</v>
      </c>
    </row>
    <row r="30" spans="1:14" x14ac:dyDescent="0.35">
      <c r="B30" t="s">
        <v>46</v>
      </c>
      <c r="C30">
        <v>0</v>
      </c>
      <c r="D30">
        <v>660</v>
      </c>
      <c r="E30">
        <v>1438</v>
      </c>
      <c r="F30">
        <v>1357</v>
      </c>
      <c r="G30">
        <v>1144</v>
      </c>
      <c r="H30">
        <v>1077</v>
      </c>
      <c r="I30">
        <v>1065</v>
      </c>
      <c r="J30">
        <v>1100</v>
      </c>
      <c r="K30">
        <v>1154</v>
      </c>
      <c r="L30">
        <v>1195</v>
      </c>
      <c r="M30">
        <v>4599</v>
      </c>
      <c r="N30">
        <v>10191</v>
      </c>
    </row>
    <row r="31" spans="1:14" x14ac:dyDescent="0.35">
      <c r="A31" s="1">
        <v>70351</v>
      </c>
      <c r="B31" s="1" t="s">
        <v>75</v>
      </c>
    </row>
    <row r="32" spans="1:14" x14ac:dyDescent="0.35">
      <c r="B32" t="s">
        <v>46</v>
      </c>
      <c r="C32">
        <v>0</v>
      </c>
      <c r="D32">
        <v>-534</v>
      </c>
      <c r="E32">
        <v>-996</v>
      </c>
      <c r="F32">
        <v>-1080</v>
      </c>
      <c r="G32">
        <v>-1146</v>
      </c>
      <c r="H32">
        <v>-1095</v>
      </c>
      <c r="I32">
        <v>-1178</v>
      </c>
      <c r="J32">
        <v>-1183</v>
      </c>
      <c r="K32">
        <v>-1194</v>
      </c>
      <c r="L32">
        <v>-1290</v>
      </c>
      <c r="M32">
        <v>-3756</v>
      </c>
      <c r="N32">
        <v>-9695</v>
      </c>
    </row>
    <row r="33" spans="1:14" x14ac:dyDescent="0.35">
      <c r="A33" s="1">
        <v>70352</v>
      </c>
      <c r="B33" s="17" t="s">
        <v>76</v>
      </c>
      <c r="C33" s="17"/>
    </row>
    <row r="34" spans="1:14" x14ac:dyDescent="0.35">
      <c r="B34" t="s">
        <v>46</v>
      </c>
      <c r="C34">
        <v>0</v>
      </c>
      <c r="D34">
        <v>393</v>
      </c>
      <c r="E34">
        <v>393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785</v>
      </c>
      <c r="N34">
        <v>785</v>
      </c>
    </row>
    <row r="35" spans="1:14" x14ac:dyDescent="0.35">
      <c r="A35" s="1">
        <v>70353</v>
      </c>
      <c r="B35" s="17" t="s">
        <v>77</v>
      </c>
      <c r="C35" s="17"/>
      <c r="D35" s="17"/>
    </row>
    <row r="36" spans="1:14" x14ac:dyDescent="0.35">
      <c r="B36" t="s">
        <v>46</v>
      </c>
      <c r="C36">
        <v>0</v>
      </c>
      <c r="D36">
        <v>-316</v>
      </c>
      <c r="E36">
        <v>-332</v>
      </c>
      <c r="F36">
        <v>-347</v>
      </c>
      <c r="G36">
        <v>-361</v>
      </c>
      <c r="H36">
        <v>-376</v>
      </c>
      <c r="I36">
        <v>-393</v>
      </c>
      <c r="J36">
        <v>-410</v>
      </c>
      <c r="K36">
        <v>-428</v>
      </c>
      <c r="L36">
        <v>-446</v>
      </c>
      <c r="M36">
        <v>-1356</v>
      </c>
      <c r="N36">
        <v>-3408</v>
      </c>
    </row>
    <row r="37" spans="1:14" x14ac:dyDescent="0.35">
      <c r="A37" s="1">
        <v>70354</v>
      </c>
      <c r="B37" s="1" t="s">
        <v>78</v>
      </c>
    </row>
    <row r="38" spans="1:14" x14ac:dyDescent="0.35">
      <c r="B38" t="s">
        <v>46</v>
      </c>
      <c r="C38">
        <v>0</v>
      </c>
      <c r="D38">
        <v>867</v>
      </c>
      <c r="E38">
        <v>1794</v>
      </c>
      <c r="F38">
        <v>2210</v>
      </c>
      <c r="G38">
        <v>2098</v>
      </c>
      <c r="H38">
        <v>1615</v>
      </c>
      <c r="I38">
        <v>1808</v>
      </c>
      <c r="J38">
        <v>1908</v>
      </c>
      <c r="K38">
        <v>1936</v>
      </c>
      <c r="L38">
        <v>2094</v>
      </c>
      <c r="M38">
        <v>6969</v>
      </c>
      <c r="N38">
        <v>16331</v>
      </c>
    </row>
    <row r="39" spans="1:14" x14ac:dyDescent="0.35">
      <c r="A39" s="1">
        <v>70401</v>
      </c>
      <c r="B39" s="17" t="s">
        <v>79</v>
      </c>
      <c r="C39" s="17"/>
    </row>
    <row r="40" spans="1:14" x14ac:dyDescent="0.35">
      <c r="B40" t="s">
        <v>46</v>
      </c>
      <c r="C40">
        <v>0</v>
      </c>
      <c r="D40">
        <v>-45</v>
      </c>
      <c r="E40">
        <v>-72</v>
      </c>
      <c r="F40">
        <v>-76</v>
      </c>
      <c r="G40">
        <v>-80</v>
      </c>
      <c r="H40">
        <v>-84</v>
      </c>
      <c r="I40">
        <v>-88</v>
      </c>
      <c r="J40">
        <v>-93</v>
      </c>
      <c r="K40">
        <v>-98</v>
      </c>
      <c r="L40">
        <v>-94</v>
      </c>
      <c r="M40">
        <v>-273</v>
      </c>
      <c r="N40">
        <v>-731</v>
      </c>
    </row>
    <row r="41" spans="1:14" x14ac:dyDescent="0.35">
      <c r="A41" s="1">
        <v>70412</v>
      </c>
      <c r="B41" s="17" t="s">
        <v>81</v>
      </c>
      <c r="C41" s="17"/>
    </row>
    <row r="42" spans="1:14" x14ac:dyDescent="0.35">
      <c r="B42" t="s">
        <v>46</v>
      </c>
      <c r="C42">
        <v>0</v>
      </c>
      <c r="D42">
        <v>-706</v>
      </c>
      <c r="E42">
        <v>-1034</v>
      </c>
      <c r="F42">
        <v>-1106</v>
      </c>
      <c r="G42">
        <v>-1182</v>
      </c>
      <c r="H42">
        <v>-1263</v>
      </c>
      <c r="I42">
        <v>-1349</v>
      </c>
      <c r="J42">
        <v>-1438</v>
      </c>
      <c r="K42">
        <v>-1531</v>
      </c>
      <c r="L42">
        <v>-1629</v>
      </c>
      <c r="M42">
        <v>-4028</v>
      </c>
      <c r="N42">
        <v>-11238</v>
      </c>
    </row>
    <row r="43" spans="1:14" x14ac:dyDescent="0.35">
      <c r="A43" s="1">
        <v>70415</v>
      </c>
      <c r="B43" s="17" t="s">
        <v>83</v>
      </c>
      <c r="C43" s="17"/>
    </row>
    <row r="44" spans="1:14" x14ac:dyDescent="0.35">
      <c r="B44" t="s">
        <v>46</v>
      </c>
      <c r="C44">
        <v>0</v>
      </c>
      <c r="D44" t="s">
        <v>20</v>
      </c>
      <c r="E44">
        <v>80</v>
      </c>
      <c r="F44">
        <v>91</v>
      </c>
      <c r="G44">
        <v>87</v>
      </c>
      <c r="H44">
        <v>92</v>
      </c>
      <c r="I44">
        <v>96</v>
      </c>
      <c r="J44">
        <v>100</v>
      </c>
      <c r="K44">
        <v>105</v>
      </c>
      <c r="L44">
        <v>110</v>
      </c>
      <c r="M44">
        <v>258</v>
      </c>
      <c r="N44">
        <v>761</v>
      </c>
    </row>
    <row r="45" spans="1:14" x14ac:dyDescent="0.35">
      <c r="A45" s="1">
        <v>70416</v>
      </c>
      <c r="B45" s="7" t="s">
        <v>84</v>
      </c>
    </row>
    <row r="46" spans="1:14" x14ac:dyDescent="0.35">
      <c r="B46" t="s">
        <v>46</v>
      </c>
      <c r="C46">
        <v>0</v>
      </c>
      <c r="D46">
        <v>236</v>
      </c>
      <c r="E46">
        <v>334</v>
      </c>
      <c r="F46">
        <v>362</v>
      </c>
      <c r="G46">
        <v>393</v>
      </c>
      <c r="H46">
        <v>426</v>
      </c>
      <c r="I46">
        <v>462</v>
      </c>
      <c r="J46">
        <v>501</v>
      </c>
      <c r="K46">
        <v>543</v>
      </c>
      <c r="L46">
        <v>589</v>
      </c>
      <c r="M46">
        <v>1325</v>
      </c>
      <c r="N46">
        <v>3844</v>
      </c>
    </row>
    <row r="47" spans="1:14" x14ac:dyDescent="0.35">
      <c r="A47" s="1">
        <v>70426</v>
      </c>
      <c r="B47" s="17" t="s">
        <v>89</v>
      </c>
      <c r="C47" s="17"/>
    </row>
    <row r="48" spans="1:14" x14ac:dyDescent="0.35">
      <c r="B48" t="s">
        <v>46</v>
      </c>
      <c r="C48">
        <v>0</v>
      </c>
      <c r="D48">
        <v>1276</v>
      </c>
      <c r="E48">
        <v>1872</v>
      </c>
      <c r="F48">
        <v>2142</v>
      </c>
      <c r="G48">
        <v>1964</v>
      </c>
      <c r="H48">
        <v>1832</v>
      </c>
      <c r="I48">
        <v>1787</v>
      </c>
      <c r="J48">
        <v>1816</v>
      </c>
      <c r="K48">
        <v>1953</v>
      </c>
      <c r="L48">
        <v>1962</v>
      </c>
      <c r="M48">
        <v>7254</v>
      </c>
      <c r="N48">
        <v>16603</v>
      </c>
    </row>
    <row r="49" spans="1:14" x14ac:dyDescent="0.35">
      <c r="A49">
        <v>70431</v>
      </c>
      <c r="B49" t="s">
        <v>91</v>
      </c>
    </row>
    <row r="50" spans="1:14" x14ac:dyDescent="0.35">
      <c r="B50" t="s">
        <v>46</v>
      </c>
      <c r="C50">
        <v>27</v>
      </c>
      <c r="D50">
        <v>56</v>
      </c>
      <c r="E50">
        <v>57</v>
      </c>
      <c r="F50">
        <v>38</v>
      </c>
      <c r="G50">
        <v>-193</v>
      </c>
      <c r="H50">
        <v>-1204</v>
      </c>
      <c r="I50">
        <v>-3470</v>
      </c>
      <c r="J50">
        <v>-3857</v>
      </c>
      <c r="K50">
        <v>-4153</v>
      </c>
      <c r="L50">
        <v>-4487</v>
      </c>
      <c r="M50">
        <v>-15</v>
      </c>
      <c r="N50">
        <v>-17186</v>
      </c>
    </row>
    <row r="51" spans="1:14" x14ac:dyDescent="0.35">
      <c r="A51">
        <v>70432</v>
      </c>
      <c r="B51" t="s">
        <v>92</v>
      </c>
    </row>
    <row r="52" spans="1:14" x14ac:dyDescent="0.35">
      <c r="B52" t="s">
        <v>46</v>
      </c>
      <c r="C52">
        <v>-38</v>
      </c>
      <c r="D52">
        <v>-1108</v>
      </c>
      <c r="E52">
        <v>-808</v>
      </c>
      <c r="F52">
        <v>-849</v>
      </c>
      <c r="G52">
        <v>-891</v>
      </c>
      <c r="H52">
        <v>-936</v>
      </c>
      <c r="I52">
        <v>-982</v>
      </c>
      <c r="J52">
        <v>-1032</v>
      </c>
      <c r="K52">
        <v>-1083</v>
      </c>
      <c r="L52">
        <v>-1137</v>
      </c>
      <c r="M52">
        <v>-3694</v>
      </c>
      <c r="N52">
        <v>-8863</v>
      </c>
    </row>
    <row r="53" spans="1:14" x14ac:dyDescent="0.35">
      <c r="A53">
        <v>70433</v>
      </c>
      <c r="B53" t="s">
        <v>93</v>
      </c>
    </row>
    <row r="54" spans="1:14" x14ac:dyDescent="0.35">
      <c r="B54" t="s">
        <v>46</v>
      </c>
      <c r="C54">
        <v>0</v>
      </c>
      <c r="D54">
        <v>-196</v>
      </c>
      <c r="E54">
        <v>-398</v>
      </c>
      <c r="F54">
        <v>-425</v>
      </c>
      <c r="G54">
        <v>-452</v>
      </c>
      <c r="H54">
        <v>-481</v>
      </c>
      <c r="I54">
        <v>-511</v>
      </c>
      <c r="J54">
        <v>-543</v>
      </c>
      <c r="K54">
        <v>-575</v>
      </c>
      <c r="L54">
        <v>-593</v>
      </c>
      <c r="M54">
        <v>-1471</v>
      </c>
      <c r="N54">
        <v>-4175</v>
      </c>
    </row>
    <row r="55" spans="1:14" x14ac:dyDescent="0.35">
      <c r="A55">
        <v>70434</v>
      </c>
      <c r="B55" t="s">
        <v>94</v>
      </c>
    </row>
    <row r="56" spans="1:14" x14ac:dyDescent="0.35">
      <c r="B56" t="s">
        <v>46</v>
      </c>
      <c r="C56">
        <v>-85</v>
      </c>
      <c r="D56">
        <v>-369</v>
      </c>
      <c r="E56">
        <v>-162</v>
      </c>
      <c r="F56">
        <v>-123</v>
      </c>
      <c r="G56">
        <v>158</v>
      </c>
      <c r="H56">
        <v>184</v>
      </c>
      <c r="I56">
        <v>111</v>
      </c>
      <c r="J56">
        <v>68</v>
      </c>
      <c r="K56">
        <v>41</v>
      </c>
      <c r="L56">
        <v>24</v>
      </c>
      <c r="M56">
        <v>-581</v>
      </c>
      <c r="N56">
        <v>-153</v>
      </c>
    </row>
    <row r="57" spans="1:14" x14ac:dyDescent="0.35">
      <c r="A57">
        <v>70435</v>
      </c>
      <c r="B57" t="s">
        <v>95</v>
      </c>
    </row>
    <row r="58" spans="1:14" x14ac:dyDescent="0.35">
      <c r="B58" t="s">
        <v>46</v>
      </c>
      <c r="C58">
        <v>-9</v>
      </c>
      <c r="D58">
        <v>-60</v>
      </c>
      <c r="E58">
        <v>-99</v>
      </c>
      <c r="F58">
        <v>-133</v>
      </c>
      <c r="G58">
        <v>-170</v>
      </c>
      <c r="H58">
        <v>-212</v>
      </c>
      <c r="I58">
        <v>-258</v>
      </c>
      <c r="J58">
        <v>-308</v>
      </c>
      <c r="K58">
        <v>-364</v>
      </c>
      <c r="L58">
        <v>-426</v>
      </c>
      <c r="M58">
        <v>-471</v>
      </c>
      <c r="N58">
        <v>-2038</v>
      </c>
    </row>
    <row r="59" spans="1:14" x14ac:dyDescent="0.35">
      <c r="A59">
        <v>70436</v>
      </c>
      <c r="B59" t="s">
        <v>96</v>
      </c>
    </row>
    <row r="60" spans="1:14" x14ac:dyDescent="0.35">
      <c r="B60" t="s">
        <v>46</v>
      </c>
      <c r="C60">
        <v>-15</v>
      </c>
      <c r="D60">
        <v>-102</v>
      </c>
      <c r="E60">
        <v>-117</v>
      </c>
      <c r="F60">
        <v>-134</v>
      </c>
      <c r="G60">
        <v>-154</v>
      </c>
      <c r="H60">
        <v>-176</v>
      </c>
      <c r="I60">
        <v>-202</v>
      </c>
      <c r="J60">
        <v>-232</v>
      </c>
      <c r="K60">
        <v>-267</v>
      </c>
      <c r="L60">
        <v>-306</v>
      </c>
      <c r="M60">
        <v>-522</v>
      </c>
      <c r="N60">
        <v>-1706</v>
      </c>
    </row>
    <row r="61" spans="1:14" x14ac:dyDescent="0.35">
      <c r="A61">
        <v>70437</v>
      </c>
      <c r="B61" t="s">
        <v>97</v>
      </c>
    </row>
    <row r="62" spans="1:14" x14ac:dyDescent="0.35">
      <c r="B62" t="s">
        <v>46</v>
      </c>
      <c r="C62">
        <v>-55</v>
      </c>
      <c r="D62">
        <v>-765</v>
      </c>
      <c r="E62">
        <v>-2637</v>
      </c>
      <c r="F62">
        <v>-1698</v>
      </c>
      <c r="G62">
        <v>-854</v>
      </c>
      <c r="H62">
        <v>-142</v>
      </c>
      <c r="I62">
        <v>-221</v>
      </c>
      <c r="J62">
        <v>-269</v>
      </c>
      <c r="K62">
        <v>-302</v>
      </c>
      <c r="L62">
        <v>-325</v>
      </c>
      <c r="M62">
        <v>-6009</v>
      </c>
      <c r="N62">
        <v>-7268</v>
      </c>
    </row>
    <row r="63" spans="1:14" x14ac:dyDescent="0.35">
      <c r="A63">
        <v>70438</v>
      </c>
      <c r="B63" t="s">
        <v>98</v>
      </c>
    </row>
    <row r="64" spans="1:14" x14ac:dyDescent="0.35">
      <c r="B64" t="s">
        <v>46</v>
      </c>
      <c r="C64">
        <v>-6</v>
      </c>
      <c r="D64">
        <v>-52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-58</v>
      </c>
      <c r="N64">
        <v>-58</v>
      </c>
    </row>
    <row r="65" spans="1:14" x14ac:dyDescent="0.35">
      <c r="A65">
        <v>70439</v>
      </c>
      <c r="B65" t="s">
        <v>99</v>
      </c>
    </row>
    <row r="66" spans="1:14" x14ac:dyDescent="0.35">
      <c r="B66" t="s">
        <v>46</v>
      </c>
      <c r="C66">
        <v>0</v>
      </c>
      <c r="D66">
        <v>-80</v>
      </c>
      <c r="E66">
        <v>-185</v>
      </c>
      <c r="F66">
        <v>-234</v>
      </c>
      <c r="G66">
        <v>-287</v>
      </c>
      <c r="H66">
        <v>-344</v>
      </c>
      <c r="I66">
        <v>-405</v>
      </c>
      <c r="J66">
        <v>-470</v>
      </c>
      <c r="K66">
        <v>-540</v>
      </c>
      <c r="L66">
        <v>-614</v>
      </c>
      <c r="M66">
        <v>-786</v>
      </c>
      <c r="N66">
        <v>-3159</v>
      </c>
    </row>
    <row r="67" spans="1:14" x14ac:dyDescent="0.35">
      <c r="A67" s="1">
        <v>70523</v>
      </c>
      <c r="B67" s="17" t="s">
        <v>109</v>
      </c>
      <c r="C67" s="17"/>
    </row>
    <row r="68" spans="1:14" x14ac:dyDescent="0.35">
      <c r="B68" t="s">
        <v>46</v>
      </c>
      <c r="C68">
        <v>0</v>
      </c>
      <c r="D68">
        <v>-25</v>
      </c>
      <c r="E68">
        <v>-29</v>
      </c>
      <c r="F68">
        <v>-29</v>
      </c>
      <c r="G68">
        <v>-44</v>
      </c>
      <c r="H68">
        <v>-65</v>
      </c>
      <c r="I68">
        <v>-66</v>
      </c>
      <c r="J68">
        <v>-66</v>
      </c>
      <c r="K68">
        <v>-53</v>
      </c>
      <c r="L68">
        <v>-49</v>
      </c>
      <c r="M68">
        <v>-127</v>
      </c>
      <c r="N68">
        <v>-427</v>
      </c>
    </row>
    <row r="69" spans="1:14" x14ac:dyDescent="0.35">
      <c r="A69" s="1">
        <v>70524</v>
      </c>
      <c r="B69" s="17" t="s">
        <v>110</v>
      </c>
      <c r="C69" s="17"/>
      <c r="D69" s="17"/>
    </row>
    <row r="70" spans="1:14" x14ac:dyDescent="0.35">
      <c r="B70" t="s">
        <v>46</v>
      </c>
      <c r="C70">
        <v>0</v>
      </c>
      <c r="D70">
        <v>-157</v>
      </c>
      <c r="E70">
        <v>-325</v>
      </c>
      <c r="F70">
        <v>-343</v>
      </c>
      <c r="G70">
        <v>-358</v>
      </c>
      <c r="H70">
        <v>-374</v>
      </c>
      <c r="I70">
        <v>-391</v>
      </c>
      <c r="J70">
        <v>-409</v>
      </c>
      <c r="K70">
        <v>-427</v>
      </c>
      <c r="L70">
        <v>-446</v>
      </c>
      <c r="M70">
        <v>-1183</v>
      </c>
      <c r="N70">
        <v>-3230</v>
      </c>
    </row>
    <row r="71" spans="1:14" x14ac:dyDescent="0.35">
      <c r="A71" s="1">
        <v>70531</v>
      </c>
      <c r="B71" s="1" t="s">
        <v>38</v>
      </c>
    </row>
    <row r="72" spans="1:14" x14ac:dyDescent="0.35">
      <c r="B72" t="s">
        <v>6</v>
      </c>
      <c r="C72" t="s">
        <v>20</v>
      </c>
      <c r="D72" t="s">
        <v>20</v>
      </c>
      <c r="E72">
        <v>1232</v>
      </c>
      <c r="F72">
        <v>4989</v>
      </c>
      <c r="G72">
        <v>5054</v>
      </c>
      <c r="H72">
        <v>5140</v>
      </c>
      <c r="I72">
        <v>5264</v>
      </c>
      <c r="J72">
        <v>5404</v>
      </c>
      <c r="K72">
        <v>5547</v>
      </c>
      <c r="L72">
        <v>5688</v>
      </c>
      <c r="M72">
        <v>11275</v>
      </c>
      <c r="N72">
        <v>38318</v>
      </c>
    </row>
    <row r="73" spans="1:14" x14ac:dyDescent="0.35">
      <c r="A73" s="1">
        <v>70603</v>
      </c>
      <c r="B73" s="17" t="s">
        <v>113</v>
      </c>
      <c r="C73" s="17"/>
    </row>
    <row r="74" spans="1:14" x14ac:dyDescent="0.35">
      <c r="B74" t="s">
        <v>46</v>
      </c>
      <c r="C74">
        <v>0</v>
      </c>
      <c r="D74">
        <v>643</v>
      </c>
      <c r="E74">
        <v>1484</v>
      </c>
      <c r="F74">
        <v>1719</v>
      </c>
      <c r="G74">
        <v>1793</v>
      </c>
      <c r="H74">
        <v>1868</v>
      </c>
      <c r="I74">
        <v>1941</v>
      </c>
      <c r="J74">
        <v>2014</v>
      </c>
      <c r="K74">
        <v>2085</v>
      </c>
      <c r="L74">
        <v>2155</v>
      </c>
      <c r="M74">
        <v>5639</v>
      </c>
      <c r="N74">
        <v>15701</v>
      </c>
    </row>
    <row r="75" spans="1:14" x14ac:dyDescent="0.35">
      <c r="C75" s="11">
        <f>SUM(C10:C74)</f>
        <v>-100215</v>
      </c>
      <c r="D75" s="11">
        <f t="shared" ref="D75:N75" si="0">SUM(D10:D74)</f>
        <v>-141706</v>
      </c>
      <c r="E75" s="11">
        <f t="shared" si="0"/>
        <v>-130759</v>
      </c>
      <c r="F75" s="11">
        <f t="shared" si="0"/>
        <v>-110568</v>
      </c>
      <c r="G75" s="11">
        <f t="shared" si="0"/>
        <v>-79656</v>
      </c>
      <c r="H75" s="11">
        <f t="shared" si="0"/>
        <v>-52739</v>
      </c>
      <c r="I75" s="11">
        <f t="shared" si="0"/>
        <v>-32829</v>
      </c>
      <c r="J75" s="11">
        <f t="shared" si="0"/>
        <v>-23435</v>
      </c>
      <c r="K75" s="11">
        <f t="shared" si="0"/>
        <v>-20508</v>
      </c>
      <c r="L75" s="11">
        <f t="shared" si="0"/>
        <v>-20008</v>
      </c>
      <c r="M75" s="11">
        <f t="shared" si="0"/>
        <v>-562905</v>
      </c>
      <c r="N75" s="11">
        <f t="shared" si="0"/>
        <v>-712425</v>
      </c>
    </row>
  </sheetData>
  <autoFilter ref="A2:N74" xr:uid="{C61AF1E6-2163-439F-95E4-BDF07386F4FB}"/>
  <mergeCells count="14">
    <mergeCell ref="B67:C67"/>
    <mergeCell ref="B69:D69"/>
    <mergeCell ref="B73:C73"/>
    <mergeCell ref="B35:D35"/>
    <mergeCell ref="B39:C39"/>
    <mergeCell ref="B41:C41"/>
    <mergeCell ref="B43:C43"/>
    <mergeCell ref="B47:C47"/>
    <mergeCell ref="B33:C33"/>
    <mergeCell ref="C1:N1"/>
    <mergeCell ref="B9:C9"/>
    <mergeCell ref="B13:C13"/>
    <mergeCell ref="B15:C15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19D1-9BB5-46E6-BBE8-CE3E44B2CE86}">
  <dimension ref="A1:M15"/>
  <sheetViews>
    <sheetView tabSelected="1" zoomScale="110" zoomScaleNormal="110" workbookViewId="0">
      <selection activeCell="I6" sqref="I6"/>
    </sheetView>
  </sheetViews>
  <sheetFormatPr defaultRowHeight="14.5" x14ac:dyDescent="0.35"/>
  <cols>
    <col min="1" max="1" width="31.90625" bestFit="1" customWidth="1"/>
    <col min="2" max="4" width="13.453125" bestFit="1" customWidth="1"/>
    <col min="5" max="11" width="13.453125" style="21" bestFit="1" customWidth="1"/>
    <col min="12" max="13" width="15" style="21" bestFit="1" customWidth="1"/>
  </cols>
  <sheetData>
    <row r="1" spans="1:13" x14ac:dyDescent="0.35">
      <c r="B1" s="18" t="s">
        <v>2</v>
      </c>
      <c r="C1" s="18"/>
      <c r="D1" s="18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5">
      <c r="A2" s="15" t="s">
        <v>7</v>
      </c>
      <c r="B2" s="15">
        <v>2025</v>
      </c>
      <c r="C2" s="15">
        <v>2026</v>
      </c>
      <c r="D2" s="15">
        <v>2027</v>
      </c>
    </row>
    <row r="3" spans="1:13" x14ac:dyDescent="0.35">
      <c r="A3" t="s">
        <v>120</v>
      </c>
      <c r="B3" s="12">
        <v>889</v>
      </c>
      <c r="C3" s="12">
        <v>3415</v>
      </c>
      <c r="D3" s="12">
        <v>4915</v>
      </c>
      <c r="E3" s="25"/>
      <c r="F3" s="25"/>
      <c r="G3" s="25"/>
      <c r="H3" s="25"/>
      <c r="I3" s="25"/>
      <c r="J3" s="25"/>
      <c r="K3" s="25"/>
      <c r="L3" s="25"/>
      <c r="M3" s="25"/>
    </row>
    <row r="4" spans="1:13" x14ac:dyDescent="0.35">
      <c r="A4" t="s">
        <v>119</v>
      </c>
      <c r="B4" s="12">
        <v>30688</v>
      </c>
      <c r="C4" s="12">
        <v>319417</v>
      </c>
      <c r="D4" s="12">
        <v>453624</v>
      </c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35">
      <c r="A5" s="13" t="s">
        <v>121</v>
      </c>
      <c r="B5" s="14">
        <f>B3-B4</f>
        <v>-29799</v>
      </c>
      <c r="C5" s="14">
        <f t="shared" ref="C5:D5" si="0">C3-C4</f>
        <v>-316002</v>
      </c>
      <c r="D5" s="14">
        <f t="shared" si="0"/>
        <v>-448709</v>
      </c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35">
      <c r="A6" t="s">
        <v>122</v>
      </c>
      <c r="B6" s="12">
        <v>-61</v>
      </c>
      <c r="C6" s="12">
        <v>0</v>
      </c>
      <c r="D6" s="12">
        <v>59</v>
      </c>
      <c r="E6" s="25"/>
      <c r="F6" s="25"/>
      <c r="G6" s="25"/>
      <c r="H6" s="25"/>
      <c r="I6" s="25"/>
      <c r="J6" s="25"/>
      <c r="K6" s="25"/>
      <c r="L6" s="25"/>
      <c r="M6" s="25"/>
    </row>
    <row r="7" spans="1:13" x14ac:dyDescent="0.35">
      <c r="A7" t="s">
        <v>123</v>
      </c>
      <c r="B7" s="12">
        <v>100215</v>
      </c>
      <c r="C7" s="12">
        <v>141706</v>
      </c>
      <c r="D7" s="12">
        <v>130759</v>
      </c>
      <c r="E7" s="25"/>
      <c r="F7" s="25"/>
      <c r="G7" s="25"/>
      <c r="H7" s="25"/>
      <c r="I7" s="25"/>
      <c r="J7" s="25"/>
      <c r="K7" s="25"/>
      <c r="L7" s="25"/>
      <c r="M7" s="25"/>
    </row>
    <row r="8" spans="1:13" x14ac:dyDescent="0.35">
      <c r="A8" s="13" t="s">
        <v>124</v>
      </c>
      <c r="B8" s="14">
        <f>B6-B7</f>
        <v>-100276</v>
      </c>
      <c r="C8" s="14">
        <f t="shared" ref="C8:D8" si="1">C6-C7</f>
        <v>-141706</v>
      </c>
      <c r="D8" s="14">
        <f t="shared" si="1"/>
        <v>-130700</v>
      </c>
      <c r="E8" s="25"/>
      <c r="F8" s="25"/>
      <c r="G8" s="25"/>
      <c r="H8" s="25"/>
      <c r="I8" s="25"/>
      <c r="J8" s="25"/>
      <c r="K8" s="25"/>
      <c r="L8" s="25"/>
      <c r="M8" s="25"/>
    </row>
    <row r="10" spans="1:13" x14ac:dyDescent="0.35">
      <c r="A10" t="s">
        <v>126</v>
      </c>
      <c r="B10">
        <f>B5+0.5*B8</f>
        <v>-79937</v>
      </c>
      <c r="C10">
        <f t="shared" ref="C10:D10" si="2">C5+0.5*C8</f>
        <v>-386855</v>
      </c>
      <c r="D10">
        <f t="shared" si="2"/>
        <v>-514059</v>
      </c>
    </row>
    <row r="11" spans="1:13" x14ac:dyDescent="0.35">
      <c r="A11" t="s">
        <v>125</v>
      </c>
      <c r="B11">
        <f>B10/1000</f>
        <v>-79.936999999999998</v>
      </c>
      <c r="C11">
        <f t="shared" ref="C11:D11" si="3">C10/1000</f>
        <v>-386.85500000000002</v>
      </c>
      <c r="D11">
        <f t="shared" si="3"/>
        <v>-514.05899999999997</v>
      </c>
    </row>
    <row r="13" spans="1:13" x14ac:dyDescent="0.35">
      <c r="A13" t="s">
        <v>127</v>
      </c>
      <c r="B13">
        <f>B5/1000</f>
        <v>-29.798999999999999</v>
      </c>
      <c r="C13">
        <f t="shared" ref="C13:D13" si="4">C5/1000</f>
        <v>-316.00200000000001</v>
      </c>
      <c r="D13">
        <f t="shared" si="4"/>
        <v>-448.709</v>
      </c>
    </row>
    <row r="14" spans="1:13" x14ac:dyDescent="0.35">
      <c r="A14" t="s">
        <v>128</v>
      </c>
      <c r="B14">
        <f>B8/1000</f>
        <v>-100.276</v>
      </c>
      <c r="C14">
        <f t="shared" ref="C14:D14" si="5">C8/1000</f>
        <v>-141.70599999999999</v>
      </c>
      <c r="D14">
        <f t="shared" si="5"/>
        <v>-130.69999999999999</v>
      </c>
    </row>
    <row r="15" spans="1:13" x14ac:dyDescent="0.35">
      <c r="A15" t="s">
        <v>129</v>
      </c>
      <c r="B15">
        <f>B13+B14</f>
        <v>-130.07499999999999</v>
      </c>
      <c r="C15">
        <f t="shared" ref="C15:D15" si="6">C13+C14</f>
        <v>-457.70799999999997</v>
      </c>
      <c r="D15">
        <f t="shared" si="6"/>
        <v>-579.40899999999999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 Non-Corporate</vt:lpstr>
      <vt:lpstr>Federal Corporate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testrunner-train092023@outlook.com</dc:creator>
  <cp:lastModifiedBy>Sarah Ahmad</cp:lastModifiedBy>
  <dcterms:created xsi:type="dcterms:W3CDTF">2025-07-25T20:42:26Z</dcterms:created>
  <dcterms:modified xsi:type="dcterms:W3CDTF">2025-08-07T21:51:53Z</dcterms:modified>
</cp:coreProperties>
</file>