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hmad\Downloads\FIM\docs\obbbafim\"/>
    </mc:Choice>
  </mc:AlternateContent>
  <xr:revisionPtr revIDLastSave="0" documentId="13_ncr:1_{DFC53062-522A-43F7-A411-02643E1AC2F9}" xr6:coauthVersionLast="47" xr6:coauthVersionMax="47" xr10:uidLastSave="{00000000-0000-0000-0000-000000000000}"/>
  <bookViews>
    <workbookView xWindow="-110" yWindow="-110" windowWidth="19420" windowHeight="11500" firstSheet="1" activeTab="1" xr2:uid="{C0EAC147-CCCF-478C-A033-975E276392EF}"/>
  </bookViews>
  <sheets>
    <sheet name="To Do" sheetId="6" state="hidden" r:id="rId1"/>
    <sheet name="Notes" sheetId="2" r:id="rId2"/>
    <sheet name="Taxes - Current Law (34)" sheetId="14" state="hidden" r:id="rId3"/>
    <sheet name="Annual 61534 (Law Baseline)" sheetId="9" state="hidden" r:id="rId4"/>
    <sheet name="OLD" sheetId="8" state="hidden" r:id="rId5"/>
    <sheet name="Monthly" sheetId="4" state="hidden" r:id="rId6"/>
    <sheet name="Diff" sheetId="11" state="hidden" r:id="rId7"/>
    <sheet name="Green credit" sheetId="12" state="hidden" r:id="rId8"/>
    <sheet name="Tristan" sheetId="5" state="hidden" r:id="rId9"/>
    <sheet name="Taxes 2 - Current Policy (69)" sheetId="17" state="hidden" r:id="rId10"/>
    <sheet name="Taxes 2 - Current Law (70)" sheetId="15" state="hidden" r:id="rId11"/>
    <sheet name="CBO Table Update" sheetId="16" state="hidden" r:id="rId12"/>
    <sheet name="Medicaid" sheetId="20" r:id="rId13"/>
    <sheet name="Federal Purchases" sheetId="23" r:id="rId14"/>
    <sheet name="Annual 61533 (Policy Baseline)" sheetId="7" r:id="rId15"/>
    <sheet name="Taxes" sheetId="13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23" l="1"/>
  <c r="F67" i="23"/>
  <c r="G67" i="23"/>
  <c r="H67" i="23"/>
  <c r="I67" i="23"/>
  <c r="J67" i="23"/>
  <c r="K67" i="23"/>
  <c r="L67" i="23"/>
  <c r="M67" i="23"/>
  <c r="D67" i="23"/>
  <c r="M66" i="23"/>
  <c r="L66" i="23"/>
  <c r="K66" i="23"/>
  <c r="J66" i="23"/>
  <c r="I66" i="23"/>
  <c r="H66" i="23"/>
  <c r="G66" i="23"/>
  <c r="F66" i="23"/>
  <c r="E66" i="23"/>
  <c r="D66" i="23"/>
  <c r="C23" i="20" l="1"/>
  <c r="D24" i="20" l="1"/>
  <c r="E24" i="20"/>
  <c r="F24" i="20"/>
  <c r="G24" i="20"/>
  <c r="H24" i="20"/>
  <c r="I24" i="20"/>
  <c r="J24" i="20"/>
  <c r="K24" i="20"/>
  <c r="L24" i="20"/>
  <c r="M24" i="20"/>
  <c r="N24" i="20"/>
  <c r="C24" i="20"/>
  <c r="D23" i="20"/>
  <c r="E23" i="20"/>
  <c r="F23" i="20"/>
  <c r="G23" i="20"/>
  <c r="H23" i="20"/>
  <c r="I23" i="20"/>
  <c r="J23" i="20"/>
  <c r="K23" i="20"/>
  <c r="L23" i="20"/>
  <c r="M23" i="20"/>
  <c r="N23" i="20"/>
  <c r="M4" i="20"/>
  <c r="N4" i="20"/>
  <c r="M5" i="20"/>
  <c r="N5" i="20"/>
  <c r="M6" i="20"/>
  <c r="N6" i="20"/>
  <c r="M7" i="20"/>
  <c r="N7" i="20"/>
  <c r="M8" i="20"/>
  <c r="N8" i="20"/>
  <c r="M9" i="20"/>
  <c r="N9" i="20"/>
  <c r="M10" i="20"/>
  <c r="N10" i="20"/>
  <c r="M11" i="20"/>
  <c r="N11" i="20"/>
  <c r="M12" i="20"/>
  <c r="N12" i="20"/>
  <c r="M13" i="20"/>
  <c r="N13" i="20"/>
  <c r="M14" i="20"/>
  <c r="N14" i="20"/>
  <c r="M15" i="20"/>
  <c r="N15" i="20"/>
  <c r="M16" i="20"/>
  <c r="N16" i="20"/>
  <c r="M17" i="20"/>
  <c r="N17" i="20"/>
  <c r="M18" i="20"/>
  <c r="N18" i="20"/>
  <c r="M19" i="20"/>
  <c r="N19" i="20"/>
  <c r="M20" i="20"/>
  <c r="N20" i="20"/>
  <c r="M21" i="20"/>
  <c r="N21" i="20"/>
  <c r="M22" i="20"/>
  <c r="N22" i="20"/>
  <c r="N3" i="20"/>
  <c r="M3" i="20"/>
  <c r="E102" i="17"/>
  <c r="F102" i="17"/>
  <c r="G102" i="17"/>
  <c r="H102" i="17"/>
  <c r="I102" i="17"/>
  <c r="J102" i="17"/>
  <c r="K102" i="17"/>
  <c r="L102" i="17"/>
  <c r="M102" i="17"/>
  <c r="N102" i="17"/>
  <c r="O102" i="17"/>
  <c r="D102" i="17"/>
  <c r="E101" i="17"/>
  <c r="F101" i="17"/>
  <c r="G101" i="17"/>
  <c r="H101" i="17"/>
  <c r="I101" i="17"/>
  <c r="J101" i="17"/>
  <c r="K101" i="17"/>
  <c r="L101" i="17"/>
  <c r="M101" i="17"/>
  <c r="N101" i="17"/>
  <c r="O101" i="17"/>
  <c r="D101" i="17"/>
  <c r="E97" i="17"/>
  <c r="F97" i="17"/>
  <c r="G97" i="17"/>
  <c r="H97" i="17"/>
  <c r="I97" i="17"/>
  <c r="J97" i="17"/>
  <c r="K97" i="17"/>
  <c r="L97" i="17"/>
  <c r="M97" i="17"/>
  <c r="N97" i="17"/>
  <c r="O97" i="17"/>
  <c r="E98" i="17"/>
  <c r="F98" i="17"/>
  <c r="G98" i="17"/>
  <c r="H98" i="17"/>
  <c r="I98" i="17"/>
  <c r="J98" i="17"/>
  <c r="K98" i="17"/>
  <c r="L98" i="17"/>
  <c r="M98" i="17"/>
  <c r="N98" i="17"/>
  <c r="O98" i="17"/>
  <c r="E99" i="17"/>
  <c r="F99" i="17"/>
  <c r="G99" i="17"/>
  <c r="H99" i="17"/>
  <c r="I99" i="17"/>
  <c r="J99" i="17"/>
  <c r="K99" i="17"/>
  <c r="L99" i="17"/>
  <c r="M99" i="17"/>
  <c r="N99" i="17"/>
  <c r="O99" i="17"/>
  <c r="E100" i="17"/>
  <c r="F100" i="17"/>
  <c r="G100" i="17"/>
  <c r="H100" i="17"/>
  <c r="I100" i="17"/>
  <c r="J100" i="17"/>
  <c r="K100" i="17"/>
  <c r="L100" i="17"/>
  <c r="M100" i="17"/>
  <c r="N100" i="17"/>
  <c r="O100" i="17"/>
  <c r="D98" i="17"/>
  <c r="D99" i="17"/>
  <c r="D100" i="17"/>
  <c r="D97" i="17"/>
  <c r="E68" i="17"/>
  <c r="F68" i="17"/>
  <c r="G68" i="17"/>
  <c r="H68" i="17"/>
  <c r="I68" i="17"/>
  <c r="J68" i="17"/>
  <c r="K68" i="17"/>
  <c r="L68" i="17"/>
  <c r="M68" i="17"/>
  <c r="N68" i="17"/>
  <c r="O68" i="17"/>
  <c r="D68" i="17"/>
  <c r="E68" i="15"/>
  <c r="F68" i="15"/>
  <c r="G68" i="15"/>
  <c r="H68" i="15"/>
  <c r="I68" i="15"/>
  <c r="J68" i="15"/>
  <c r="K68" i="15"/>
  <c r="L68" i="15"/>
  <c r="M68" i="15"/>
  <c r="N68" i="15"/>
  <c r="O68" i="15"/>
  <c r="D68" i="15"/>
  <c r="E44" i="15"/>
  <c r="F44" i="15"/>
  <c r="G44" i="15"/>
  <c r="H44" i="15"/>
  <c r="I44" i="15"/>
  <c r="J44" i="15"/>
  <c r="K44" i="15"/>
  <c r="L44" i="15"/>
  <c r="M44" i="15"/>
  <c r="N44" i="15"/>
  <c r="O44" i="15"/>
  <c r="D44" i="15"/>
  <c r="E42" i="15"/>
  <c r="F42" i="15"/>
  <c r="G42" i="15"/>
  <c r="H42" i="15"/>
  <c r="I42" i="15"/>
  <c r="J42" i="15"/>
  <c r="K42" i="15"/>
  <c r="L42" i="15"/>
  <c r="M42" i="15"/>
  <c r="N42" i="15"/>
  <c r="O42" i="15"/>
  <c r="D42" i="15"/>
  <c r="O42" i="13" l="1"/>
  <c r="E4" i="11"/>
  <c r="F4" i="11"/>
  <c r="G4" i="11"/>
  <c r="H4" i="11"/>
  <c r="I4" i="11"/>
  <c r="J4" i="11"/>
  <c r="K4" i="11"/>
  <c r="L4" i="11"/>
  <c r="M4" i="11"/>
  <c r="N4" i="11"/>
  <c r="O4" i="11"/>
  <c r="E5" i="11"/>
  <c r="F5" i="11"/>
  <c r="G5" i="11"/>
  <c r="H5" i="11"/>
  <c r="I5" i="11"/>
  <c r="J5" i="11"/>
  <c r="K5" i="11"/>
  <c r="L5" i="11"/>
  <c r="M5" i="11"/>
  <c r="N5" i="11"/>
  <c r="O5" i="11"/>
  <c r="E6" i="11"/>
  <c r="F6" i="11"/>
  <c r="G6" i="11"/>
  <c r="H6" i="11"/>
  <c r="I6" i="11"/>
  <c r="J6" i="11"/>
  <c r="K6" i="11"/>
  <c r="L6" i="11"/>
  <c r="M6" i="11"/>
  <c r="N6" i="11"/>
  <c r="O6" i="11"/>
  <c r="E7" i="11"/>
  <c r="F7" i="11"/>
  <c r="G7" i="11"/>
  <c r="H7" i="11"/>
  <c r="I7" i="11"/>
  <c r="J7" i="11"/>
  <c r="K7" i="11"/>
  <c r="L7" i="11"/>
  <c r="M7" i="11"/>
  <c r="N7" i="11"/>
  <c r="O7" i="11"/>
  <c r="E8" i="11"/>
  <c r="F8" i="11"/>
  <c r="G8" i="11"/>
  <c r="H8" i="11"/>
  <c r="I8" i="11"/>
  <c r="J8" i="11"/>
  <c r="K8" i="11"/>
  <c r="L8" i="11"/>
  <c r="M8" i="11"/>
  <c r="N8" i="11"/>
  <c r="O8" i="11"/>
  <c r="E10" i="11"/>
  <c r="F10" i="11"/>
  <c r="G10" i="11"/>
  <c r="H10" i="11"/>
  <c r="I10" i="11"/>
  <c r="J10" i="11"/>
  <c r="K10" i="11"/>
  <c r="L10" i="11"/>
  <c r="M10" i="11"/>
  <c r="N10" i="11"/>
  <c r="O10" i="11"/>
  <c r="E11" i="11"/>
  <c r="F11" i="11"/>
  <c r="G11" i="11"/>
  <c r="H11" i="11"/>
  <c r="I11" i="11"/>
  <c r="J11" i="11"/>
  <c r="K11" i="11"/>
  <c r="L11" i="11"/>
  <c r="M11" i="11"/>
  <c r="N11" i="11"/>
  <c r="E12" i="11"/>
  <c r="F12" i="11"/>
  <c r="G12" i="11"/>
  <c r="H12" i="11"/>
  <c r="I12" i="11"/>
  <c r="J12" i="11"/>
  <c r="K12" i="11"/>
  <c r="L12" i="11"/>
  <c r="M12" i="11"/>
  <c r="N12" i="11"/>
  <c r="O12" i="11"/>
  <c r="E13" i="11"/>
  <c r="F13" i="11"/>
  <c r="G13" i="11"/>
  <c r="H13" i="11"/>
  <c r="I13" i="11"/>
  <c r="J13" i="11"/>
  <c r="K13" i="11"/>
  <c r="L13" i="11"/>
  <c r="M13" i="11"/>
  <c r="N13" i="11"/>
  <c r="O13" i="11"/>
  <c r="E14" i="11"/>
  <c r="F14" i="11"/>
  <c r="G14" i="11"/>
  <c r="H14" i="11"/>
  <c r="I14" i="11"/>
  <c r="J14" i="11"/>
  <c r="K14" i="11"/>
  <c r="L14" i="11"/>
  <c r="M14" i="11"/>
  <c r="N14" i="11"/>
  <c r="O14" i="11"/>
  <c r="E15" i="11"/>
  <c r="F15" i="11"/>
  <c r="G15" i="11"/>
  <c r="H15" i="11"/>
  <c r="I15" i="11"/>
  <c r="J15" i="11"/>
  <c r="K15" i="11"/>
  <c r="L15" i="11"/>
  <c r="M15" i="11"/>
  <c r="N15" i="11"/>
  <c r="O15" i="11"/>
  <c r="E17" i="11"/>
  <c r="F17" i="11"/>
  <c r="G17" i="11"/>
  <c r="H17" i="11"/>
  <c r="I17" i="11"/>
  <c r="J17" i="11"/>
  <c r="K17" i="11"/>
  <c r="L17" i="11"/>
  <c r="M17" i="11"/>
  <c r="N17" i="11"/>
  <c r="O17" i="11"/>
  <c r="E18" i="11"/>
  <c r="F18" i="11"/>
  <c r="G18" i="11"/>
  <c r="H18" i="11"/>
  <c r="I18" i="11"/>
  <c r="J18" i="11"/>
  <c r="K18" i="11"/>
  <c r="L18" i="11"/>
  <c r="M18" i="11"/>
  <c r="N18" i="11"/>
  <c r="O18" i="11"/>
  <c r="E19" i="11"/>
  <c r="F19" i="11"/>
  <c r="G19" i="11"/>
  <c r="H19" i="11"/>
  <c r="I19" i="11"/>
  <c r="J19" i="11"/>
  <c r="K19" i="11"/>
  <c r="L19" i="11"/>
  <c r="M19" i="11"/>
  <c r="N19" i="11"/>
  <c r="O19" i="11"/>
  <c r="E20" i="11"/>
  <c r="F20" i="11"/>
  <c r="G20" i="11"/>
  <c r="H20" i="11"/>
  <c r="I20" i="11"/>
  <c r="J20" i="11"/>
  <c r="K20" i="11"/>
  <c r="L20" i="11"/>
  <c r="M20" i="11"/>
  <c r="N20" i="11"/>
  <c r="O20" i="11"/>
  <c r="E21" i="11"/>
  <c r="F21" i="11"/>
  <c r="G21" i="11"/>
  <c r="H21" i="11"/>
  <c r="I21" i="11"/>
  <c r="J21" i="11"/>
  <c r="K21" i="11"/>
  <c r="L21" i="11"/>
  <c r="M21" i="11"/>
  <c r="N21" i="11"/>
  <c r="O21" i="11"/>
  <c r="E22" i="11"/>
  <c r="F22" i="11"/>
  <c r="G22" i="11"/>
  <c r="H22" i="11"/>
  <c r="I22" i="11"/>
  <c r="J22" i="11"/>
  <c r="K22" i="11"/>
  <c r="L22" i="11"/>
  <c r="M22" i="11"/>
  <c r="N22" i="11"/>
  <c r="O22" i="11"/>
  <c r="E24" i="11"/>
  <c r="F24" i="11"/>
  <c r="G24" i="11"/>
  <c r="H24" i="11"/>
  <c r="I24" i="11"/>
  <c r="J24" i="11"/>
  <c r="K24" i="11"/>
  <c r="L24" i="11"/>
  <c r="M24" i="11"/>
  <c r="N24" i="11"/>
  <c r="O24" i="11"/>
  <c r="E25" i="11"/>
  <c r="F25" i="11"/>
  <c r="G25" i="11"/>
  <c r="H25" i="11"/>
  <c r="I25" i="11"/>
  <c r="J25" i="11"/>
  <c r="K25" i="11"/>
  <c r="L25" i="11"/>
  <c r="M25" i="11"/>
  <c r="N25" i="11"/>
  <c r="O25" i="11"/>
  <c r="E26" i="11"/>
  <c r="F26" i="11"/>
  <c r="G26" i="11"/>
  <c r="H26" i="11"/>
  <c r="I26" i="11"/>
  <c r="J26" i="11"/>
  <c r="K26" i="11"/>
  <c r="L26" i="11"/>
  <c r="M26" i="11"/>
  <c r="N26" i="11"/>
  <c r="O26" i="11"/>
  <c r="E28" i="11"/>
  <c r="F28" i="11"/>
  <c r="G28" i="11"/>
  <c r="H28" i="11"/>
  <c r="I28" i="11"/>
  <c r="J28" i="11"/>
  <c r="K28" i="11"/>
  <c r="L28" i="11"/>
  <c r="M28" i="11"/>
  <c r="N28" i="11"/>
  <c r="O28" i="11"/>
  <c r="E30" i="11"/>
  <c r="F30" i="11"/>
  <c r="G30" i="11"/>
  <c r="H30" i="11"/>
  <c r="I30" i="11"/>
  <c r="J30" i="11"/>
  <c r="K30" i="11"/>
  <c r="L30" i="11"/>
  <c r="M30" i="11"/>
  <c r="N30" i="11"/>
  <c r="O30" i="11"/>
  <c r="E31" i="11"/>
  <c r="F31" i="11"/>
  <c r="G31" i="11"/>
  <c r="H31" i="11"/>
  <c r="I31" i="11"/>
  <c r="J31" i="11"/>
  <c r="K31" i="11"/>
  <c r="L31" i="11"/>
  <c r="M31" i="11"/>
  <c r="N31" i="11"/>
  <c r="O31" i="11"/>
  <c r="E32" i="11"/>
  <c r="F32" i="11"/>
  <c r="G32" i="11"/>
  <c r="H32" i="11"/>
  <c r="I32" i="11"/>
  <c r="J32" i="11"/>
  <c r="K32" i="11"/>
  <c r="L32" i="11"/>
  <c r="M32" i="11"/>
  <c r="N32" i="11"/>
  <c r="O32" i="11"/>
  <c r="E33" i="11"/>
  <c r="F33" i="11"/>
  <c r="G33" i="11"/>
  <c r="H33" i="11"/>
  <c r="I33" i="11"/>
  <c r="J33" i="11"/>
  <c r="K33" i="11"/>
  <c r="L33" i="11"/>
  <c r="M33" i="11"/>
  <c r="N33" i="11"/>
  <c r="O33" i="11"/>
  <c r="E34" i="11"/>
  <c r="F34" i="11"/>
  <c r="G34" i="11"/>
  <c r="H34" i="11"/>
  <c r="I34" i="11"/>
  <c r="J34" i="11"/>
  <c r="K34" i="11"/>
  <c r="L34" i="11"/>
  <c r="M34" i="11"/>
  <c r="N34" i="11"/>
  <c r="O34" i="11"/>
  <c r="E35" i="11"/>
  <c r="F35" i="11"/>
  <c r="G35" i="11"/>
  <c r="H35" i="11"/>
  <c r="I35" i="11"/>
  <c r="J35" i="11"/>
  <c r="K35" i="11"/>
  <c r="L35" i="11"/>
  <c r="M35" i="11"/>
  <c r="N35" i="11"/>
  <c r="O35" i="11"/>
  <c r="E36" i="11"/>
  <c r="F36" i="11"/>
  <c r="G36" i="11"/>
  <c r="H36" i="11"/>
  <c r="I36" i="11"/>
  <c r="J36" i="11"/>
  <c r="K36" i="11"/>
  <c r="L36" i="11"/>
  <c r="M36" i="11"/>
  <c r="N36" i="11"/>
  <c r="O36" i="11"/>
  <c r="E37" i="11"/>
  <c r="F37" i="11"/>
  <c r="G37" i="11"/>
  <c r="H37" i="11"/>
  <c r="I37" i="11"/>
  <c r="J37" i="11"/>
  <c r="K37" i="11"/>
  <c r="L37" i="11"/>
  <c r="M37" i="11"/>
  <c r="N37" i="11"/>
  <c r="O37" i="11"/>
  <c r="E38" i="11"/>
  <c r="F38" i="11"/>
  <c r="G38" i="11"/>
  <c r="H38" i="11"/>
  <c r="I38" i="11"/>
  <c r="J38" i="11"/>
  <c r="K38" i="11"/>
  <c r="L38" i="11"/>
  <c r="M38" i="11"/>
  <c r="N38" i="11"/>
  <c r="O38" i="11"/>
  <c r="E40" i="11"/>
  <c r="F40" i="11"/>
  <c r="G40" i="11"/>
  <c r="H40" i="11"/>
  <c r="I40" i="11"/>
  <c r="J40" i="11"/>
  <c r="K40" i="11"/>
  <c r="L40" i="11"/>
  <c r="M40" i="11"/>
  <c r="N40" i="11"/>
  <c r="O40" i="11"/>
  <c r="E42" i="11"/>
  <c r="F42" i="11"/>
  <c r="G42" i="11"/>
  <c r="H42" i="11"/>
  <c r="I42" i="11"/>
  <c r="J42" i="11"/>
  <c r="K42" i="11"/>
  <c r="L42" i="11"/>
  <c r="M42" i="11"/>
  <c r="N42" i="11"/>
  <c r="O42" i="11"/>
  <c r="E43" i="11"/>
  <c r="F43" i="11"/>
  <c r="G43" i="11"/>
  <c r="H43" i="11"/>
  <c r="I43" i="11"/>
  <c r="J43" i="11"/>
  <c r="K43" i="11"/>
  <c r="L43" i="11"/>
  <c r="M43" i="11"/>
  <c r="N43" i="11"/>
  <c r="O43" i="11"/>
  <c r="E45" i="11"/>
  <c r="F45" i="11"/>
  <c r="G45" i="11"/>
  <c r="H45" i="11"/>
  <c r="I45" i="11"/>
  <c r="J45" i="11"/>
  <c r="K45" i="11"/>
  <c r="L45" i="11"/>
  <c r="M45" i="11"/>
  <c r="N45" i="11"/>
  <c r="O45" i="11"/>
  <c r="E46" i="11"/>
  <c r="F46" i="11"/>
  <c r="G46" i="11"/>
  <c r="H46" i="11"/>
  <c r="I46" i="11"/>
  <c r="J46" i="11"/>
  <c r="K46" i="11"/>
  <c r="L46" i="11"/>
  <c r="M46" i="11"/>
  <c r="N46" i="11"/>
  <c r="O46" i="11"/>
  <c r="E47" i="11"/>
  <c r="F47" i="11"/>
  <c r="G47" i="11"/>
  <c r="H47" i="11"/>
  <c r="I47" i="11"/>
  <c r="J47" i="11"/>
  <c r="K47" i="11"/>
  <c r="L47" i="11"/>
  <c r="M47" i="11"/>
  <c r="N47" i="11"/>
  <c r="O47" i="11"/>
  <c r="F49" i="11"/>
  <c r="G49" i="11"/>
  <c r="H49" i="11"/>
  <c r="I49" i="11"/>
  <c r="J49" i="11"/>
  <c r="K49" i="11"/>
  <c r="L49" i="11"/>
  <c r="M49" i="11"/>
  <c r="N49" i="11"/>
  <c r="O49" i="11"/>
  <c r="F3" i="11"/>
  <c r="G3" i="11"/>
  <c r="H3" i="11"/>
  <c r="I3" i="11"/>
  <c r="J3" i="11"/>
  <c r="K3" i="11"/>
  <c r="L3" i="11"/>
  <c r="M3" i="11"/>
  <c r="N3" i="11"/>
  <c r="O3" i="11"/>
  <c r="E3" i="11"/>
  <c r="F49" i="9"/>
  <c r="G49" i="9"/>
  <c r="H49" i="9"/>
  <c r="I49" i="9"/>
  <c r="J49" i="9"/>
  <c r="K49" i="9"/>
  <c r="L49" i="9"/>
  <c r="M49" i="9"/>
  <c r="N49" i="9"/>
  <c r="O49" i="9"/>
  <c r="E49" i="9"/>
  <c r="G54" i="7"/>
  <c r="H54" i="7"/>
  <c r="I54" i="7"/>
  <c r="J54" i="7"/>
  <c r="K54" i="7"/>
  <c r="L54" i="7"/>
  <c r="M54" i="7"/>
  <c r="N54" i="7"/>
  <c r="O54" i="7"/>
  <c r="P54" i="7"/>
  <c r="F54" i="7"/>
  <c r="K9" i="8"/>
  <c r="J9" i="8"/>
  <c r="I9" i="8"/>
  <c r="H9" i="8"/>
  <c r="G9" i="8"/>
  <c r="F9" i="8"/>
  <c r="H5" i="8"/>
  <c r="G5" i="8"/>
  <c r="F5" i="8"/>
  <c r="E5" i="8"/>
  <c r="E49" i="11" l="1"/>
</calcChain>
</file>

<file path=xl/sharedStrings.xml><?xml version="1.0" encoding="utf-8"?>
<sst xmlns="http://schemas.openxmlformats.org/spreadsheetml/2006/main" count="1346" uniqueCount="444">
  <si>
    <t>Link to OBBBA</t>
  </si>
  <si>
    <t>https://www.congress.gov/bill/119th-congress/house-bill/1/text</t>
  </si>
  <si>
    <t>Breakdown of tax provisions</t>
  </si>
  <si>
    <t xml:space="preserve">https://waysandmeans.house.gov/wp-content/uploads/2025/05/The-One-Big-Beautiful-Bill-Section-by-Section.pdf </t>
  </si>
  <si>
    <t>Tax Provisions (easy  to read)</t>
  </si>
  <si>
    <t xml:space="preserve">https://taxfoundation.org/research/all/federal/big-beautiful-bill-senate-gop-tax-plan/ </t>
  </si>
  <si>
    <t>CBO Current Law Baseline</t>
  </si>
  <si>
    <t>https://www.nytimes.com/interactive/2025/06/30/upshot/senate-republican-megabill.html</t>
  </si>
  <si>
    <t>CBO Current Policy Baseline</t>
  </si>
  <si>
    <t>Tasks</t>
  </si>
  <si>
    <t>Questions</t>
  </si>
  <si>
    <t>Update "Annual" sheet with current policy estimates from 33 spreadsheet</t>
  </si>
  <si>
    <t>How much do 33 and 34 differ in terms of provisions?</t>
  </si>
  <si>
    <t>Find differences between current policy and current law spreadsheet (titles/overall)</t>
  </si>
  <si>
    <t>What in this bill could make CBO change purchases forecasts?</t>
  </si>
  <si>
    <t>Understand why student loan is so high in 2025 (read provisions)</t>
  </si>
  <si>
    <t>Discretionary spending current guidance (important = louise doing)</t>
  </si>
  <si>
    <t>Note implications for federal/state funding for provisions</t>
  </si>
  <si>
    <t>Are budget interaction effects important for our analysis?</t>
  </si>
  <si>
    <t>Split medicaid into eligibility / payment requirements</t>
  </si>
  <si>
    <t>What's up with the TCJA numbers?</t>
  </si>
  <si>
    <t>Split taxes across provisions</t>
  </si>
  <si>
    <t>Chase</t>
  </si>
  <si>
    <t>1-4, 8</t>
  </si>
  <si>
    <t>Split tax effects across income categories</t>
  </si>
  <si>
    <t>Sarah</t>
  </si>
  <si>
    <t>5, 6, 7, 9, 10</t>
  </si>
  <si>
    <t>CHECK NEW CBO TITLE VII MEDICAID NUMBERS</t>
  </si>
  <si>
    <t>Change forecast growth rates - taxes, federal purchases, and medicaid</t>
  </si>
  <si>
    <t>Notes for us</t>
  </si>
  <si>
    <t>Taxes - sarah did the aggregate, need to put in growth rates</t>
  </si>
  <si>
    <t>I</t>
  </si>
  <si>
    <t>Child tax credit is in the social benefits sheet, not taxes</t>
  </si>
  <si>
    <t>Federal purchases - double check emily's numbers, do we forecast purchases?</t>
  </si>
  <si>
    <t>State social benefits pull from previous cell multiplied by average growth rate from 4 quarters in 2019</t>
  </si>
  <si>
    <t>Medicaid - write down numbers, can we put it into growth rates?</t>
  </si>
  <si>
    <t>Revisit how we calculate FIM state social benefits going forward</t>
  </si>
  <si>
    <t>Federal social benefits - new OBBBA line add factor</t>
  </si>
  <si>
    <t>Think about MPCs - is it likely that first quarter will rise with anxiety over policy</t>
  </si>
  <si>
    <t>Chase wish list</t>
  </si>
  <si>
    <t>lol I love this, let's do this by christmas</t>
  </si>
  <si>
    <t>II</t>
  </si>
  <si>
    <t>Defense spending - we are not looking at this until we hear about discretionary spending from Louise</t>
  </si>
  <si>
    <t>color coded FIM sheets</t>
  </si>
  <si>
    <t>table explanations in-sheet</t>
  </si>
  <si>
    <t>medicaid table cut</t>
  </si>
  <si>
    <t>What should we do about state social benefits growth rates</t>
  </si>
  <si>
    <t>State spending on social benefits?</t>
  </si>
  <si>
    <t>Taxes projections vs observed values - NIPA FY and forecast based on CBO growth rates table</t>
  </si>
  <si>
    <t>Spending (millions of dollars)</t>
  </si>
  <si>
    <t>Title</t>
  </si>
  <si>
    <t>FIM Category</t>
  </si>
  <si>
    <t>Provision</t>
  </si>
  <si>
    <t>Description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</si>
  <si>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</si>
  <si>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</si>
  <si>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</si>
  <si>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</si>
  <si>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</si>
  <si>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</si>
  <si>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</si>
  <si>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</si>
  <si>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</si>
  <si>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</si>
  <si>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2025-2034 Totals</t>
  </si>
  <si>
    <t>Other federal social benefits</t>
  </si>
  <si>
    <t>SNAP</t>
  </si>
  <si>
    <t>Thrifty Food Plan/SNAP eligibility adjustments</t>
  </si>
  <si>
    <t>https://www.cbo.gov/system/files/2025-05/Klobuchar-Craig-Letter-SNAP_5-22-25.pdf</t>
  </si>
  <si>
    <t>Ag Assistance</t>
  </si>
  <si>
    <t>Price Loss Coverage funding</t>
  </si>
  <si>
    <t>breakdown of Nutrition spending cuts</t>
  </si>
  <si>
    <t>Two provisions do have state spending implications</t>
  </si>
  <si>
    <t>Agriculture Risk Coverage</t>
  </si>
  <si>
    <t>Marketing Assistance Loans</t>
  </si>
  <si>
    <r>
      <t>Interaction with CCC Section 5</t>
    </r>
    <r>
      <rPr>
        <vertAlign val="superscript"/>
        <sz val="11"/>
        <rFont val="Aptos Narrow"/>
        <family val="2"/>
        <scheme val="minor"/>
      </rPr>
      <t>a</t>
    </r>
  </si>
  <si>
    <t>Supplemental Ag Disaster Assistance</t>
  </si>
  <si>
    <t>Federal purchases</t>
  </si>
  <si>
    <t>Defense</t>
  </si>
  <si>
    <t>Summed Funding for defense projects</t>
  </si>
  <si>
    <t>III</t>
  </si>
  <si>
    <t>Caps funding for Bureau of Consumer Financial Protection</t>
  </si>
  <si>
    <t>Federal purchases?</t>
  </si>
  <si>
    <t>Cuts funding for Green Retrofit housing</t>
  </si>
  <si>
    <t>Cuts SEC reserve fund spending</t>
  </si>
  <si>
    <t>More Defense appropriations</t>
  </si>
  <si>
    <t>IV</t>
  </si>
  <si>
    <t>CG Mission Readiness</t>
  </si>
  <si>
    <t>Coast guard appropriations</t>
  </si>
  <si>
    <t>Spectrum Auctions</t>
  </si>
  <si>
    <t>FCC auctions for airwave bands</t>
  </si>
  <si>
    <t>ATC</t>
  </si>
  <si>
    <t>Air Traffic control improvment spending</t>
  </si>
  <si>
    <t>NASA</t>
  </si>
  <si>
    <t>Mars, Artemis, Moon Landing Missions funding</t>
  </si>
  <si>
    <t>CAFE</t>
  </si>
  <si>
    <t>Ends federal corporate fleet fuel efficiency requirements</t>
  </si>
  <si>
    <t>Multiple</t>
  </si>
  <si>
    <t>Summed Cuts to NOAA,  TPF, alternative fuel, public wireless supply chain, AI in BEADP</t>
  </si>
  <si>
    <t>V</t>
  </si>
  <si>
    <t xml:space="preserve">Taxes </t>
  </si>
  <si>
    <t>Resources leasing</t>
  </si>
  <si>
    <t>Reducing royalty rates for oil, gas, coal leasing</t>
  </si>
  <si>
    <t>Resource enhancement</t>
  </si>
  <si>
    <t>Increase the capacity of existing water and petroleum facilities</t>
  </si>
  <si>
    <t>Funding repeals and recisissions</t>
  </si>
  <si>
    <t>Department of Energy, Bureau of Land Management</t>
  </si>
  <si>
    <t>VI</t>
  </si>
  <si>
    <t>Recission of environmental programs</t>
  </si>
  <si>
    <t>Technology, air pollution, greenhouse gases, data collection, etc.</t>
  </si>
  <si>
    <t>VII</t>
  </si>
  <si>
    <t>Taxes</t>
  </si>
  <si>
    <t>Extension of TCJA provisions</t>
  </si>
  <si>
    <t>Increased standard deduction</t>
  </si>
  <si>
    <t>Increased Child Tax Credit (CTC)</t>
  </si>
  <si>
    <t xml:space="preserve">Limitation on  individual deductions for SALT </t>
  </si>
  <si>
    <t>"Trump accounts"</t>
  </si>
  <si>
    <t>Create new tax-advantaged savings account for children with $1,000 contribution</t>
  </si>
  <si>
    <t>Tax credits for children</t>
  </si>
  <si>
    <t>Adoption, child and dependent care tax credit</t>
  </si>
  <si>
    <t>Misc taxes</t>
  </si>
  <si>
    <t>Tax on distilled spirits</t>
  </si>
  <si>
    <t>New JCT estimate ~2B</t>
  </si>
  <si>
    <t>Termination of green credit</t>
  </si>
  <si>
    <t>Clean vehicle credit, advanced manufacturing production credit</t>
  </si>
  <si>
    <t>Medicaid</t>
  </si>
  <si>
    <t>Eligibility Requirements Changes Cuts</t>
  </si>
  <si>
    <t>71101, 71102, 71106, 71107, 71108, 71109</t>
  </si>
  <si>
    <t>FMAP for Emergency Medicaid Cut</t>
  </si>
  <si>
    <t>Limiting Dual Enrollment</t>
  </si>
  <si>
    <t>Medicare</t>
  </si>
  <si>
    <t>Limiting coverage for immigrants, expands exemptions for orphan drugs in Drug Price Negotiation Program</t>
  </si>
  <si>
    <t>Premium Tax Credit</t>
  </si>
  <si>
    <t>???????</t>
  </si>
  <si>
    <t>Rural hospitals</t>
  </si>
  <si>
    <t>Provide funding to rural hospitals</t>
  </si>
  <si>
    <t>VIII</t>
  </si>
  <si>
    <t>Federal student loans</t>
  </si>
  <si>
    <t>Student loans</t>
  </si>
  <si>
    <t>Summed Loan caps, repayment, pell grants, "do no harm" cuts, biden rules delay</t>
  </si>
  <si>
    <t>Explanations</t>
  </si>
  <si>
    <t>https://www.cassidy.senate.gov/wp-content/uploads/2025/06/HELP-Section-by-Section-Updated-6-30-25.pdf</t>
  </si>
  <si>
    <t>IX</t>
  </si>
  <si>
    <t xml:space="preserve">Homeland security </t>
  </si>
  <si>
    <t>Border protection, wall, security</t>
  </si>
  <si>
    <t>Misc gov affairs</t>
  </si>
  <si>
    <t>OMB, Federal employee health benefits</t>
  </si>
  <si>
    <t>X</t>
  </si>
  <si>
    <t>Appropriations for departments</t>
  </si>
  <si>
    <t xml:space="preserve">DHS, ICE, Federal Law Enforcement Training Centers, Bureau of Prisons, etc. </t>
  </si>
  <si>
    <t>Claims</t>
  </si>
  <si>
    <t>Mining, Manhattan Project Waste</t>
  </si>
  <si>
    <t>?</t>
  </si>
  <si>
    <t>Immigration fees</t>
  </si>
  <si>
    <t xml:space="preserve">Asylum, visa, protected status fees, etc. </t>
  </si>
  <si>
    <t>TOTAL</t>
  </si>
  <si>
    <t>Outlays/Revenues (Millions of Dollars)</t>
  </si>
  <si>
    <t>Section Num</t>
  </si>
  <si>
    <t>2025-
2029</t>
  </si>
  <si>
    <t>2025-
2034</t>
  </si>
  <si>
    <t>Federal non-corporate</t>
  </si>
  <si>
    <t>Extension and Enhancement of Reduced Rates</t>
  </si>
  <si>
    <t xml:space="preserve">Standard Deduction </t>
  </si>
  <si>
    <t>Termination of Deduction for Personal Exemptions Other Than Temporary Senior Deduction</t>
  </si>
  <si>
    <t>Extension and Enhancement of Increased Child Tax Credit</t>
  </si>
  <si>
    <t>State non-corporate</t>
  </si>
  <si>
    <t xml:space="preserve">Limitation on Individual Deductions for Certain State and Local Taxes, etc. </t>
  </si>
  <si>
    <t>Trump Accounts and Contribution Pilot Program</t>
  </si>
  <si>
    <t>Enhancement of Adoption Credit</t>
  </si>
  <si>
    <t>Enhancement of Child and Dependent Care Tax Credit</t>
  </si>
  <si>
    <t xml:space="preserve">Federal corporate </t>
  </si>
  <si>
    <t>Permanent Increase in Limitation on Cover Over Tax on Distilled Spirits</t>
  </si>
  <si>
    <t>Termination of Previously-Owned Clean Vehicle Credit</t>
  </si>
  <si>
    <t>Termination of Clean Vehicle Credit</t>
  </si>
  <si>
    <t>Phase-Out and Restrictions on Advanced Manufacturing Production Credit</t>
  </si>
  <si>
    <t>Permitting Premium Tax Credit Only for Certain Individuals</t>
  </si>
  <si>
    <t>Disallowing Premium Tax Credit During Periods of Medicaid Ineligibility Due to Alien Status</t>
  </si>
  <si>
    <t>Requiring Verification of Eligibility for Premium Tax Credit</t>
  </si>
  <si>
    <t>Disallowing Premium Tax Credit in Case of Certain Coverage Enrolled in During Special Enrollment Period</t>
  </si>
  <si>
    <t>Eliminating Limitation on Recapture of Advance Payment of Premium Tax Credit</t>
  </si>
  <si>
    <t>Modifications to De Minimis Entry Privilege for Commercial Shipments</t>
  </si>
  <si>
    <t>*</t>
  </si>
  <si>
    <t>Full expensing for certain business property (permanent bonus depreciation)</t>
  </si>
  <si>
    <t>Full immediate expensing of domestic R&amp;D</t>
  </si>
  <si>
    <t>Increases cap on business interest expenses</t>
  </si>
  <si>
    <t>Extends paid family and medical leave credit permanently</t>
  </si>
  <si>
    <t>Extends and expands deduction limitations for business meals</t>
  </si>
  <si>
    <t>Increases max amount a taxpayer may expense to $2.5M</t>
  </si>
  <si>
    <t>Temporarily provides 100% deduction of qualifying production structures</t>
  </si>
  <si>
    <t>Enhances tax credit for advanced manufacturing facility</t>
  </si>
  <si>
    <t>Treat spaceports like airports under current bond rules</t>
  </si>
  <si>
    <t>Limits which deductions reduce GILTI income for foreign tax credit purposes</t>
  </si>
  <si>
    <t>Increases foreign tax credit for subsidiaries to 90% under GILTI</t>
  </si>
  <si>
    <t>Treats up to 50% of inventory produced in the US as foreign-source for FTC purposes if US company has foreign office</t>
  </si>
  <si>
    <t>Sets FDII and GILTI deductions at 33.34 and 40% resulting in 14% effective tax rate</t>
  </si>
  <si>
    <t>Determination of Deduction Eligible Income</t>
  </si>
  <si>
    <t>Rules Related to Deemed Intangible Income</t>
  </si>
  <si>
    <t xml:space="preserve">Extension and Bodification of Base Erosion Minimum </t>
  </si>
  <si>
    <t>Coordination of Business Interest Limitation With Interest Capitalization Provisions</t>
  </si>
  <si>
    <t>Definition of Adjusted Taxable Income for Business Interest Limitations</t>
  </si>
  <si>
    <t>Note: bolded provisions include estimates for REVENUES, not OUTLAYS</t>
  </si>
  <si>
    <r>
      <t>Interaction with CCC Section 5</t>
    </r>
    <r>
      <rPr>
        <vertAlign val="superscript"/>
        <sz val="10"/>
        <rFont val="Arial"/>
        <family val="2"/>
      </rPr>
      <t>a</t>
    </r>
  </si>
  <si>
    <t>Taxes (?)</t>
  </si>
  <si>
    <t>CTC, SALT, reduced tax rates</t>
  </si>
  <si>
    <t>Eligibility, FMAP, payments to states</t>
  </si>
  <si>
    <t>Tightens eligibility</t>
  </si>
  <si>
    <t>Spending (millions)</t>
  </si>
  <si>
    <t>Source</t>
  </si>
  <si>
    <t>Sources</t>
  </si>
  <si>
    <t>Tips</t>
  </si>
  <si>
    <t>Deduction capped at $25k of tips</t>
  </si>
  <si>
    <t xml:space="preserve">JR's OB3 Call Slides </t>
  </si>
  <si>
    <t>Overtime</t>
  </si>
  <si>
    <t>Applies to hours paid above regularly hourly rate</t>
  </si>
  <si>
    <t xml:space="preserve">Tax Foundation https://taxfoundation.org/research/all/federal/big-beautiful-bill-senate-gop-tax-plan/  </t>
  </si>
  <si>
    <t>Seniors/SS</t>
  </si>
  <si>
    <t>Additional $6k deduction for seniors</t>
  </si>
  <si>
    <t>CBO projections</t>
  </si>
  <si>
    <t>Auto loan</t>
  </si>
  <si>
    <t>Up to $10k/year of auto loan interest is tax deductible</t>
  </si>
  <si>
    <t xml:space="preserve">Committee for a Responsible Federal Budget https://www.crfb.org/blogs/house-education-and-workforce-committee-proposes-349-billion-offsets </t>
  </si>
  <si>
    <t>CTC</t>
  </si>
  <si>
    <t>Up from $2,000 to $2,200 per child and $1,700 is refundable in 2025</t>
  </si>
  <si>
    <t>Standard deduction</t>
  </si>
  <si>
    <t>Increases by $750 per adult</t>
  </si>
  <si>
    <t>SALT</t>
  </si>
  <si>
    <t>Up from $10,000 to $40,000 in 2025, with 1% increases through 2029. Reverts to $10,000 in 2030</t>
  </si>
  <si>
    <t>Business tax reform</t>
  </si>
  <si>
    <t>Expands work requirements. States pay more. Limits eligibility.</t>
  </si>
  <si>
    <t>Green energy and environ</t>
  </si>
  <si>
    <t xml:space="preserve">Repeal green energy tax credits </t>
  </si>
  <si>
    <t>Federal work rules require beneficiaries 19-64 to work at least 80 hrs/month starting 12/31/2026. Eligibility redeterminations.</t>
  </si>
  <si>
    <t>Reflects cutting 3 provisions after CBO projection publication: 71110, 71114, 71124</t>
  </si>
  <si>
    <t>Also unknown effect on state medicaid policies</t>
  </si>
  <si>
    <t xml:space="preserve">Caps unsubsidized student loans, borrowing for professional degrees. </t>
  </si>
  <si>
    <t>349 billion from 2025-2034</t>
  </si>
  <si>
    <t>New funding for defense projects</t>
  </si>
  <si>
    <t>For border security and immigration enforcement</t>
  </si>
  <si>
    <t>Immigration &amp; Customs</t>
  </si>
  <si>
    <t>Funding for hiring, training, transportation, facilities and legal resources to carry out immigration enforcement and removals</t>
  </si>
  <si>
    <t xml:space="preserve">Cancel a rule making it easier for low-income Medicare beneficiaries to sign up for help paying premiums. Prevent expansion states from using special funding to pay Medicaid providers higher prices than Medicare would pay.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</si>
  <si>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</si>
  <si>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</si>
  <si>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</si>
  <si>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</si>
  <si>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</si>
  <si>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</si>
  <si>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</si>
  <si>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</si>
  <si>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</si>
  <si>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</si>
  <si>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</si>
  <si>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</si>
  <si>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Federal Non-Corporate Taxes</t>
  </si>
  <si>
    <t>Other Federal Social Benefits (including all SNAP)</t>
  </si>
  <si>
    <t>Federal Student Loans</t>
  </si>
  <si>
    <t>sec 179</t>
  </si>
  <si>
    <t>Deduction Limit</t>
  </si>
  <si>
    <t>Significantly increased for small-mid-sized businesses</t>
  </si>
  <si>
    <t>Bonus depreciation</t>
  </si>
  <si>
    <t>100% bonus dep. extended from jan 20 2025 to jan 1 2031</t>
  </si>
  <si>
    <t>R&amp;D</t>
  </si>
  <si>
    <t>reverses previous amortization rules and allows immediate expensing</t>
  </si>
  <si>
    <t>IRC1202</t>
  </si>
  <si>
    <t>Most gain from sale of small C-Corp stock excluded</t>
  </si>
  <si>
    <t>Estate Tax</t>
  </si>
  <si>
    <t>Raises estate and gift tax exemption to $15Msingle and $30M joint</t>
  </si>
  <si>
    <t>Remittances</t>
  </si>
  <si>
    <t>1% tax on all remittances sent</t>
  </si>
  <si>
    <t>AMT</t>
  </si>
  <si>
    <t>make alt. min. tax increase exemption permanaent - back to 500k/1M</t>
  </si>
  <si>
    <t>Subchapter A. Termination of Green New Deal Subsidies</t>
  </si>
  <si>
    <t>By Fiscal Year, Millions of Dollars</t>
  </si>
  <si>
    <t xml:space="preserve">Sec. </t>
  </si>
  <si>
    <t>Termination of Previously-Owned Clean</t>
  </si>
  <si>
    <t>Vehicle Credit</t>
  </si>
  <si>
    <t>C Policy</t>
  </si>
  <si>
    <t>Estimated Outlays (JCT Estimate)</t>
  </si>
  <si>
    <t>C Law</t>
  </si>
  <si>
    <t>Termination of Clean Hydrogen Production Credit</t>
  </si>
  <si>
    <t>Termination and Restrictions on Clean</t>
  </si>
  <si>
    <t>Electricity Production Credit</t>
  </si>
  <si>
    <t>Electricity Investment Credit</t>
  </si>
  <si>
    <t>Phase-Out and Restrictions on Advanced</t>
  </si>
  <si>
    <t>Manufacturing Production Credit</t>
  </si>
  <si>
    <t>IRA</t>
  </si>
  <si>
    <t>REVENUES</t>
  </si>
  <si>
    <t>Extension and expansion of qualified business income deduction</t>
  </si>
  <si>
    <t>Extension and expansion of increased estate and gift tax exemptions</t>
  </si>
  <si>
    <t>extension of increase alternative minimum tax amount</t>
  </si>
  <si>
    <t>extension and modification of limitation on deduction for qualified residence interest</t>
  </si>
  <si>
    <t>extension and modification of limitation on casualty loss deduction</t>
  </si>
  <si>
    <t>termination of miscellaneous itemized deductions other than educator expenses</t>
  </si>
  <si>
    <t>limitation on tax benefit of itemized deductions</t>
  </si>
  <si>
    <t>No tax on tips</t>
  </si>
  <si>
    <t>No tax on overtime</t>
  </si>
  <si>
    <t>No tax on car loan interest</t>
  </si>
  <si>
    <t>Enhancement of Employer provided childcare</t>
  </si>
  <si>
    <t>Dependent Care Assistance program</t>
  </si>
  <si>
    <t>Child and dependent care tax credit</t>
  </si>
  <si>
    <t>Tax credit for contributions of individuals to scholarship granting instituions</t>
  </si>
  <si>
    <t>exclusion for ecmployer payments of student loans</t>
  </si>
  <si>
    <t>Termination of Alternative Fuel Vehicle Refueling Property Credit</t>
  </si>
  <si>
    <t>Termiantion of Energy Efficient Home Credit</t>
  </si>
  <si>
    <t>Termination of Residential Clean Energy Credit</t>
  </si>
  <si>
    <t>Limitations on individual SALT deductions</t>
  </si>
  <si>
    <t>Need to think about the effect on states too</t>
  </si>
  <si>
    <t>Permanent extension of look-thru rule</t>
  </si>
  <si>
    <t>Repeal of election for 1-month deferral in determination of taxable year for specified foreign corps.</t>
  </si>
  <si>
    <t>Restoration of Limitation on Downward Attribution of Stock ownership in applying constructive ownership rules</t>
  </si>
  <si>
    <t>modifications to pro rata share rules</t>
  </si>
  <si>
    <t>Opportunity Zones</t>
  </si>
  <si>
    <t>Various business tax adjustments</t>
  </si>
  <si>
    <t>Termination of Qualified Commercial Clean Vehicle Credit</t>
  </si>
  <si>
    <t>Termination of Energy Efficient Commercial Buildings Credit</t>
  </si>
  <si>
    <t>Termiantion of New Energy Efficient Home Credit</t>
  </si>
  <si>
    <t>Termination of Cost Recovery for for Energy Property</t>
  </si>
  <si>
    <t>Termination and Restrictions on Clean Electricity Production Credit</t>
  </si>
  <si>
    <t>Termination and Restrictions on Clean Electricity Investment Credit</t>
  </si>
  <si>
    <t>Extension and Modification of Clean Fuel Production Credit</t>
  </si>
  <si>
    <t>Restrictions on Carbon Oxide Sequestration Credit</t>
  </si>
  <si>
    <t xml:space="preserve">Intangible Drilling and Development Costs Taken Into Account for Purposes of Computing Adjusted	</t>
  </si>
  <si>
    <t>Income from Hydrogen Storage, Carbon Capture, Advanced Nuclear, Hydropower, and Geothermal Energy added to qualified income</t>
  </si>
  <si>
    <t>OUTLAYS BELOW</t>
  </si>
  <si>
    <t>Note: bolded provisions below include estimates for REVENUES, not OUTLAYS</t>
  </si>
  <si>
    <t>EFFECTS ON DEFICIT</t>
  </si>
  <si>
    <t>revenues minus outlays</t>
  </si>
  <si>
    <t>corporate?</t>
  </si>
  <si>
    <t>&lt; original number in CBO sheet</t>
  </si>
  <si>
    <t>continue revenues 704##-705##?</t>
  </si>
  <si>
    <t>2025-2029</t>
  </si>
  <si>
    <t>2025-2034</t>
  </si>
  <si>
    <t>2017 tax changes to individual/Estate and gift taxes income provisions</t>
  </si>
  <si>
    <t>2017 tax changes to business/investment costs</t>
  </si>
  <si>
    <t xml:space="preserve">Note: want to replicate Table 2 in https://www.cbo.gov/publication/60271 </t>
  </si>
  <si>
    <t>Moratorium on implementation of rule relating to eligibility and enrollment in medicare savings programs</t>
  </si>
  <si>
    <t>Moratorium on Implementation of Rule Relating to Eligibility and Enrollment for Medicaid, CHIP</t>
  </si>
  <si>
    <t xml:space="preserve">Reducing Duplicate Enrollment Under the Medicaid and CHIP Program </t>
  </si>
  <si>
    <t>Ensuring Deceased Individuals Do Not Remain Enrolled</t>
  </si>
  <si>
    <t>Ensuring Deceased Providers Do Not Remain Enrolled</t>
  </si>
  <si>
    <t>Payment Reduction Related to Certain Erroneous Excess Payments Under Medicaid</t>
  </si>
  <si>
    <t>Eligibility Redeterminations</t>
  </si>
  <si>
    <t xml:space="preserve">Revising Home Equity Limit for Determining Eligbility for Long-Term Care Services Under Medicaid Program </t>
  </si>
  <si>
    <t>Alien Medicaid Eligibility</t>
  </si>
  <si>
    <t>Expansion FMAP for Emergency Medicaid</t>
  </si>
  <si>
    <t>Moratorium on Implementation of Rule Relating to Staffing Standards</t>
  </si>
  <si>
    <t>Reducing State Medicaid Costs</t>
  </si>
  <si>
    <t>Federal Payments to Prohibited Entities</t>
  </si>
  <si>
    <t>Sunsetting Increased FMAP Incentive</t>
  </si>
  <si>
    <t>Provider Taxes</t>
  </si>
  <si>
    <t>State Directed Payments</t>
  </si>
  <si>
    <t>Requirements Regarding Waiver of Uniform Tax Requirement for Medicaid Provider Tax</t>
  </si>
  <si>
    <t>Requirement for States to Establish Medicaid Community Engagement Requirements for Certain Individuals</t>
  </si>
  <si>
    <t xml:space="preserve">Modifying Cost Sharing Requirements for Certain Expansion Individuals Under the Medicaid Program </t>
  </si>
  <si>
    <t>Making Certain Adjustments to Coverage of Home or Community-Based Services Under Medicaid</t>
  </si>
  <si>
    <t>Total</t>
  </si>
  <si>
    <t>https://www.cbo.gov/publication/61570</t>
  </si>
  <si>
    <t>https://www.cbo.gov/publication/61569</t>
  </si>
  <si>
    <t>Important Links</t>
  </si>
  <si>
    <t>They are more or less the same except for taxes and medicaid</t>
  </si>
  <si>
    <t>Federal Purchases</t>
  </si>
  <si>
    <t>Categories</t>
  </si>
  <si>
    <t>Student Loans</t>
  </si>
  <si>
    <t>SNAP (Social Benefits)</t>
  </si>
  <si>
    <t>Based on Current Policy (61569)</t>
  </si>
  <si>
    <t>Increases or Decreases (-) in Direct Spending (millions of dollars)</t>
  </si>
  <si>
    <t xml:space="preserve">Title II. Sec. </t>
  </si>
  <si>
    <t>Quality of Life</t>
  </si>
  <si>
    <t>Ship building</t>
  </si>
  <si>
    <t>Air and Missile Defense</t>
  </si>
  <si>
    <t>Munitions and Industrial Base</t>
  </si>
  <si>
    <t>Low-Cost Weapons</t>
  </si>
  <si>
    <t>Audits and Cybersecurity</t>
  </si>
  <si>
    <t>Air Superiority</t>
  </si>
  <si>
    <t>Nuclear Forces</t>
  </si>
  <si>
    <t>Indo-Pacific Command</t>
  </si>
  <si>
    <t>Military Readiness</t>
  </si>
  <si>
    <t>Border Security</t>
  </si>
  <si>
    <t>Inspector General</t>
  </si>
  <si>
    <t xml:space="preserve">Title III. Sec. </t>
  </si>
  <si>
    <t>Funding Cap for the Bureau of Consumer</t>
  </si>
  <si>
    <t>Rescission of Funds for Green and Resilient</t>
  </si>
  <si>
    <t>Securities and Exchange Commission</t>
  </si>
  <si>
    <t>Appropriations for Defense Production Act</t>
  </si>
  <si>
    <t xml:space="preserve">Title IV. Sec. </t>
  </si>
  <si>
    <t>Coast Guard Mission Readiness</t>
  </si>
  <si>
    <t>40002(a)-(e)</t>
  </si>
  <si>
    <t>Air Traffic Control Improvements</t>
  </si>
  <si>
    <t>Mars Missions, Artemis Missions, and</t>
  </si>
  <si>
    <t>Corporate Average Fuel Economy Civil Penalties</t>
  </si>
  <si>
    <t>Rescission of Certain Amounts for the National</t>
  </si>
  <si>
    <t>Reduction in Annual Transfers to Travel</t>
  </si>
  <si>
    <t>Treatment of Unobligated Funds for Alternative</t>
  </si>
  <si>
    <t>Rescission of Amounts Appropriated to Public</t>
  </si>
  <si>
    <t xml:space="preserve">Title V. Sec. </t>
  </si>
  <si>
    <t>Celebrating America’s 250th Anniversary</t>
  </si>
  <si>
    <t>Rescission of National Park Service and</t>
  </si>
  <si>
    <t>Strategic Petroleum Reserve</t>
  </si>
  <si>
    <t>Repeals; Rescissionsa</t>
  </si>
  <si>
    <t>Energy Dominance Financing</t>
  </si>
  <si>
    <t>Transformational Artificial Intelligence Models</t>
  </si>
  <si>
    <t>Water Conveyance and Surface Water</t>
  </si>
  <si>
    <t xml:space="preserve">Title VI. Sec. </t>
  </si>
  <si>
    <t>Recissions</t>
  </si>
  <si>
    <t xml:space="preserve">Title VII. Sec. </t>
  </si>
  <si>
    <t xml:space="preserve">Making Certain Adjustments to Coverage of Home or Community Based Services Under Medicaid </t>
  </si>
  <si>
    <t>Rural Health Transformation Program</t>
  </si>
  <si>
    <t xml:space="preserve">Title VIII. Sec. </t>
  </si>
  <si>
    <t>Student Loan Servicing</t>
  </si>
  <si>
    <t>Pell Shortfall</t>
  </si>
  <si>
    <t>Garden of Heroes</t>
  </si>
  <si>
    <t xml:space="preserve">Potential Sponsor Vetting for Unaccompanied Alien Children Appropriation </t>
  </si>
  <si>
    <t xml:space="preserve">Title IX. Sec. </t>
  </si>
  <si>
    <t>Border Infrastructure and Wall System</t>
  </si>
  <si>
    <t>U.S. Customs and Border Protection</t>
  </si>
  <si>
    <t>Detention Capacity</t>
  </si>
  <si>
    <t>Border Security, Technology, and Screening</t>
  </si>
  <si>
    <t>State and Local Assistance</t>
  </si>
  <si>
    <t>Presidential Residence Protection</t>
  </si>
  <si>
    <t>Department of Homeland Security</t>
  </si>
  <si>
    <t>FEHB Improvements</t>
  </si>
  <si>
    <t xml:space="preserve">Pandemic Response Accountability Committee </t>
  </si>
  <si>
    <t>Appropriation for the Office of Management</t>
  </si>
  <si>
    <t xml:space="preserve">Title X. Sec. </t>
  </si>
  <si>
    <t>Appropriation for the Department of Homeland Security</t>
  </si>
  <si>
    <t>Appropriation for U.S. Immigration and Customs Enforcement</t>
  </si>
  <si>
    <t>Appropriation for Federal Law Enforcement Training Centers</t>
  </si>
  <si>
    <t>Appropriation for the Department of Justice</t>
  </si>
  <si>
    <t xml:space="preserve">Bridging Immigration-Related Deficits Experienced Nationwide Reimbursement Fund </t>
  </si>
  <si>
    <t>Appropriation for the Bureau of Prisons</t>
  </si>
  <si>
    <t>Appropriation for the United States Secret Service</t>
  </si>
  <si>
    <t>Appropriation to the Administrative Office</t>
  </si>
  <si>
    <t>Appropriation to the Federal Judicial Center</t>
  </si>
  <si>
    <t>Claims Relating to Atmospheric Testing</t>
  </si>
  <si>
    <t>Claims Relating to Uranium Mining</t>
  </si>
  <si>
    <t>Claims Relating to Manhattan Project Waste</t>
  </si>
  <si>
    <t>Total (millions)</t>
  </si>
  <si>
    <t>Total (billions)</t>
  </si>
  <si>
    <t>Notes</t>
  </si>
  <si>
    <t>We slowed down the growth in spending across quarters in the FIM forecast</t>
  </si>
  <si>
    <t>Note: we used 61533 (current policy baseline) to derive our effects of many provisions before the new reports were released</t>
  </si>
  <si>
    <t>Calculation is in line 3 of the "Annual 61533 (Policy Baseline)" sheet</t>
  </si>
  <si>
    <t>We guesstimated the effect to be -11 billion in each quarter</t>
  </si>
  <si>
    <t>Calculation is in the "Effect of OBBBA Tax Provisions on Spending (Current Law)"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</si>
</sst>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trike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7E6E6"/>
      </patternFill>
    </fill>
    <fill>
      <patternFill patternType="solid">
        <fgColor rgb="FFE7E6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2"/>
    <xf numFmtId="0" fontId="0" fillId="0" borderId="1" xfId="0" applyBorder="1"/>
    <xf numFmtId="0" fontId="0" fillId="0" borderId="2" xfId="0" applyBorder="1"/>
    <xf numFmtId="0" fontId="5" fillId="0" borderId="0" xfId="0" applyFont="1"/>
    <xf numFmtId="0" fontId="5" fillId="0" borderId="3" xfId="0" applyFont="1" applyBorder="1"/>
    <xf numFmtId="8" fontId="0" fillId="0" borderId="0" xfId="0" applyNumberFormat="1"/>
    <xf numFmtId="3" fontId="6" fillId="0" borderId="0" xfId="0" applyNumberFormat="1" applyFont="1" applyAlignment="1">
      <alignment horizontal="right"/>
    </xf>
    <xf numFmtId="164" fontId="0" fillId="0" borderId="0" xfId="0" applyNumberFormat="1"/>
    <xf numFmtId="164" fontId="7" fillId="0" borderId="0" xfId="1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0" applyFont="1"/>
    <xf numFmtId="0" fontId="9" fillId="0" borderId="0" xfId="0" applyFont="1"/>
    <xf numFmtId="3" fontId="9" fillId="0" borderId="0" xfId="0" applyNumberFormat="1" applyFont="1"/>
    <xf numFmtId="164" fontId="10" fillId="0" borderId="0" xfId="0" applyNumberFormat="1" applyFont="1"/>
    <xf numFmtId="0" fontId="11" fillId="0" borderId="0" xfId="0" applyFont="1"/>
    <xf numFmtId="3" fontId="9" fillId="4" borderId="0" xfId="0" applyNumberFormat="1" applyFont="1" applyFill="1"/>
    <xf numFmtId="164" fontId="7" fillId="0" borderId="0" xfId="0" applyNumberFormat="1" applyFont="1"/>
    <xf numFmtId="164" fontId="10" fillId="4" borderId="0" xfId="0" applyNumberFormat="1" applyFont="1" applyFill="1"/>
    <xf numFmtId="164" fontId="0" fillId="4" borderId="0" xfId="0" applyNumberFormat="1" applyFill="1"/>
    <xf numFmtId="164" fontId="7" fillId="4" borderId="0" xfId="0" applyNumberFormat="1" applyFont="1" applyFill="1"/>
    <xf numFmtId="3" fontId="11" fillId="4" borderId="0" xfId="0" applyNumberFormat="1" applyFont="1" applyFill="1"/>
    <xf numFmtId="0" fontId="0" fillId="4" borderId="0" xfId="0" applyFill="1"/>
    <xf numFmtId="0" fontId="11" fillId="4" borderId="0" xfId="0" applyFont="1" applyFill="1"/>
    <xf numFmtId="0" fontId="0" fillId="5" borderId="0" xfId="0" applyFill="1"/>
    <xf numFmtId="0" fontId="3" fillId="5" borderId="0" xfId="2" applyFill="1"/>
    <xf numFmtId="164" fontId="6" fillId="0" borderId="0" xfId="3" applyNumberFormat="1" applyFont="1"/>
    <xf numFmtId="164" fontId="9" fillId="0" borderId="0" xfId="0" applyNumberFormat="1" applyFont="1"/>
    <xf numFmtId="0" fontId="10" fillId="0" borderId="0" xfId="0" applyFont="1"/>
    <xf numFmtId="0" fontId="7" fillId="0" borderId="0" xfId="0" applyFont="1"/>
    <xf numFmtId="3" fontId="10" fillId="0" borderId="0" xfId="0" applyNumberFormat="1" applyFont="1"/>
    <xf numFmtId="3" fontId="10" fillId="4" borderId="0" xfId="0" applyNumberFormat="1" applyFont="1" applyFill="1"/>
    <xf numFmtId="3" fontId="7" fillId="4" borderId="0" xfId="0" applyNumberFormat="1" applyFont="1" applyFill="1"/>
    <xf numFmtId="0" fontId="7" fillId="4" borderId="0" xfId="0" applyFont="1" applyFill="1"/>
    <xf numFmtId="164" fontId="0" fillId="0" borderId="0" xfId="3" applyNumberFormat="1" applyFont="1"/>
    <xf numFmtId="164" fontId="0" fillId="4" borderId="0" xfId="4" applyNumberFormat="1" applyFont="1" applyFill="1"/>
    <xf numFmtId="164" fontId="6" fillId="4" borderId="0" xfId="4" applyNumberFormat="1" applyFont="1" applyFill="1"/>
    <xf numFmtId="0" fontId="7" fillId="0" borderId="0" xfId="0" applyFont="1" applyAlignment="1">
      <alignment vertical="center"/>
    </xf>
    <xf numFmtId="164" fontId="0" fillId="4" borderId="0" xfId="5" applyNumberFormat="1" applyFont="1" applyFill="1" applyAlignment="1">
      <alignment horizontal="right"/>
    </xf>
    <xf numFmtId="0" fontId="8" fillId="4" borderId="0" xfId="0" applyFont="1" applyFill="1"/>
    <xf numFmtId="0" fontId="14" fillId="0" borderId="0" xfId="5" applyFont="1" applyAlignment="1">
      <alignment horizontal="left"/>
    </xf>
    <xf numFmtId="0" fontId="15" fillId="0" borderId="0" xfId="5" applyFont="1" applyAlignment="1">
      <alignment horizontal="right"/>
    </xf>
    <xf numFmtId="0" fontId="6" fillId="6" borderId="0" xfId="5" applyFont="1" applyFill="1" applyAlignment="1">
      <alignment horizontal="right"/>
    </xf>
    <xf numFmtId="0" fontId="15" fillId="6" borderId="0" xfId="5" applyFont="1" applyFill="1" applyAlignment="1">
      <alignment horizontal="right" vertical="center"/>
    </xf>
    <xf numFmtId="1" fontId="14" fillId="0" borderId="0" xfId="5" applyNumberFormat="1" applyFont="1" applyAlignment="1">
      <alignment horizontal="left"/>
    </xf>
    <xf numFmtId="0" fontId="15" fillId="0" borderId="0" xfId="5" applyFont="1" applyAlignment="1">
      <alignment horizontal="left" wrapText="1"/>
    </xf>
    <xf numFmtId="0" fontId="6" fillId="0" borderId="0" xfId="5" applyFont="1" applyAlignment="1">
      <alignment horizontal="right"/>
    </xf>
    <xf numFmtId="0" fontId="11" fillId="0" borderId="0" xfId="5" applyFont="1" applyAlignment="1">
      <alignment horizontal="left"/>
    </xf>
    <xf numFmtId="3" fontId="11" fillId="6" borderId="0" xfId="6" applyNumberFormat="1" applyFont="1" applyFill="1" applyAlignment="1">
      <alignment horizontal="right"/>
    </xf>
    <xf numFmtId="0" fontId="6" fillId="0" borderId="0" xfId="5" applyFont="1" applyAlignment="1">
      <alignment horizontal="left"/>
    </xf>
    <xf numFmtId="3" fontId="6" fillId="0" borderId="0" xfId="5" applyNumberFormat="1" applyFont="1" applyAlignment="1">
      <alignment horizontal="right"/>
    </xf>
    <xf numFmtId="3" fontId="6" fillId="6" borderId="0" xfId="6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3" fontId="6" fillId="6" borderId="0" xfId="1" applyNumberFormat="1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0" borderId="5" xfId="0" applyFont="1" applyBorder="1" applyAlignment="1">
      <alignment horizontal="right"/>
    </xf>
    <xf numFmtId="0" fontId="11" fillId="6" borderId="5" xfId="0" applyFont="1" applyFill="1" applyBorder="1" applyAlignment="1">
      <alignment horizontal="right" wrapText="1"/>
    </xf>
    <xf numFmtId="0" fontId="15" fillId="0" borderId="0" xfId="5" applyFont="1" applyAlignment="1">
      <alignment horizontal="right" vertical="center"/>
    </xf>
    <xf numFmtId="0" fontId="11" fillId="8" borderId="0" xfId="5" applyFont="1" applyFill="1" applyAlignment="1">
      <alignment horizontal="left"/>
    </xf>
    <xf numFmtId="0" fontId="6" fillId="8" borderId="0" xfId="5" applyFont="1" applyFill="1" applyAlignment="1">
      <alignment horizontal="right"/>
    </xf>
    <xf numFmtId="3" fontId="11" fillId="8" borderId="0" xfId="6" applyNumberFormat="1" applyFont="1" applyFill="1" applyAlignment="1">
      <alignment horizontal="right"/>
    </xf>
    <xf numFmtId="0" fontId="6" fillId="8" borderId="0" xfId="5" applyFont="1" applyFill="1" applyAlignment="1">
      <alignment horizontal="left"/>
    </xf>
    <xf numFmtId="3" fontId="6" fillId="8" borderId="0" xfId="5" applyNumberFormat="1" applyFont="1" applyFill="1" applyAlignment="1">
      <alignment horizontal="right"/>
    </xf>
    <xf numFmtId="3" fontId="6" fillId="8" borderId="0" xfId="6" applyNumberFormat="1" applyFont="1" applyFill="1" applyAlignment="1">
      <alignment horizontal="right"/>
    </xf>
    <xf numFmtId="0" fontId="6" fillId="8" borderId="0" xfId="0" applyFont="1" applyFill="1" applyAlignment="1">
      <alignment horizontal="left"/>
    </xf>
    <xf numFmtId="3" fontId="6" fillId="8" borderId="0" xfId="0" applyNumberFormat="1" applyFont="1" applyFill="1" applyAlignment="1">
      <alignment horizontal="right"/>
    </xf>
    <xf numFmtId="3" fontId="6" fillId="8" borderId="0" xfId="1" applyNumberFormat="1" applyFont="1" applyFill="1" applyAlignment="1">
      <alignment horizontal="right"/>
    </xf>
    <xf numFmtId="0" fontId="0" fillId="8" borderId="0" xfId="0" applyFill="1"/>
    <xf numFmtId="0" fontId="16" fillId="0" borderId="0" xfId="0" applyFont="1"/>
    <xf numFmtId="0" fontId="0" fillId="9" borderId="0" xfId="0" applyFill="1"/>
    <xf numFmtId="0" fontId="3" fillId="9" borderId="0" xfId="2" applyFill="1"/>
    <xf numFmtId="0" fontId="0" fillId="10" borderId="0" xfId="0" applyFill="1"/>
    <xf numFmtId="0" fontId="6" fillId="0" borderId="5" xfId="5" applyFont="1" applyBorder="1" applyAlignment="1">
      <alignment horizontal="right"/>
    </xf>
    <xf numFmtId="0" fontId="11" fillId="6" borderId="5" xfId="5" applyFont="1" applyFill="1" applyBorder="1" applyAlignment="1">
      <alignment horizontal="right" wrapText="1"/>
    </xf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11" borderId="0" xfId="0" applyNumberFormat="1" applyFont="1" applyFill="1" applyAlignment="1">
      <alignment horizontal="right"/>
    </xf>
    <xf numFmtId="0" fontId="11" fillId="11" borderId="0" xfId="0" applyFont="1" applyFill="1" applyAlignment="1">
      <alignment horizontal="right"/>
    </xf>
    <xf numFmtId="0" fontId="9" fillId="11" borderId="0" xfId="0" applyFont="1" applyFill="1" applyAlignment="1">
      <alignment horizontal="right"/>
    </xf>
    <xf numFmtId="3" fontId="0" fillId="0" borderId="0" xfId="0" applyNumberFormat="1"/>
    <xf numFmtId="3" fontId="11" fillId="6" borderId="0" xfId="1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0" fontId="9" fillId="11" borderId="0" xfId="0" applyFont="1" applyFill="1"/>
    <xf numFmtId="3" fontId="9" fillId="11" borderId="0" xfId="0" applyNumberFormat="1" applyFont="1" applyFill="1"/>
    <xf numFmtId="0" fontId="0" fillId="12" borderId="0" xfId="0" applyFill="1"/>
    <xf numFmtId="3" fontId="9" fillId="3" borderId="0" xfId="0" applyNumberFormat="1" applyFont="1" applyFill="1"/>
    <xf numFmtId="3" fontId="6" fillId="3" borderId="0" xfId="1" applyNumberFormat="1" applyFont="1" applyFill="1" applyAlignment="1">
      <alignment horizontal="right"/>
    </xf>
    <xf numFmtId="3" fontId="0" fillId="3" borderId="0" xfId="0" applyNumberFormat="1" applyFill="1"/>
    <xf numFmtId="3" fontId="11" fillId="3" borderId="0" xfId="1" applyNumberFormat="1" applyFont="1" applyFill="1" applyAlignment="1">
      <alignment horizontal="right"/>
    </xf>
    <xf numFmtId="0" fontId="0" fillId="3" borderId="0" xfId="0" applyFill="1"/>
    <xf numFmtId="0" fontId="11" fillId="3" borderId="5" xfId="5" applyFont="1" applyFill="1" applyBorder="1" applyAlignment="1">
      <alignment horizontal="right" wrapText="1"/>
    </xf>
    <xf numFmtId="0" fontId="9" fillId="3" borderId="0" xfId="0" applyFont="1" applyFill="1"/>
    <xf numFmtId="3" fontId="9" fillId="13" borderId="0" xfId="0" applyNumberFormat="1" applyFont="1" applyFill="1"/>
    <xf numFmtId="0" fontId="14" fillId="0" borderId="0" xfId="0" applyFont="1"/>
    <xf numFmtId="0" fontId="11" fillId="11" borderId="0" xfId="0" applyFont="1" applyFill="1"/>
    <xf numFmtId="3" fontId="6" fillId="0" borderId="0" xfId="1" applyNumberFormat="1" applyFont="1" applyFill="1" applyAlignment="1">
      <alignment horizontal="right"/>
    </xf>
    <xf numFmtId="3" fontId="11" fillId="0" borderId="0" xfId="1" applyNumberFormat="1" applyFont="1" applyFill="1" applyAlignment="1">
      <alignment horizontal="right"/>
    </xf>
    <xf numFmtId="0" fontId="9" fillId="14" borderId="0" xfId="0" applyFont="1" applyFill="1"/>
    <xf numFmtId="3" fontId="0" fillId="14" borderId="0" xfId="0" applyNumberFormat="1" applyFill="1"/>
    <xf numFmtId="0" fontId="0" fillId="0" borderId="0" xfId="0" applyAlignment="1">
      <alignment wrapText="1"/>
    </xf>
    <xf numFmtId="3" fontId="6" fillId="0" borderId="0" xfId="1" applyNumberFormat="1" applyFont="1" applyAlignment="1">
      <alignment horizontal="right"/>
    </xf>
    <xf numFmtId="3" fontId="11" fillId="0" borderId="0" xfId="1" applyNumberFormat="1" applyFont="1" applyAlignment="1">
      <alignment horizontal="right"/>
    </xf>
    <xf numFmtId="164" fontId="9" fillId="4" borderId="0" xfId="0" applyNumberFormat="1" applyFont="1" applyFill="1"/>
    <xf numFmtId="3" fontId="6" fillId="0" borderId="0" xfId="6" applyNumberFormat="1" applyFont="1" applyFill="1" applyAlignment="1">
      <alignment horizontal="right"/>
    </xf>
    <xf numFmtId="3" fontId="11" fillId="0" borderId="0" xfId="6" applyNumberFormat="1" applyFont="1" applyFill="1" applyAlignment="1">
      <alignment horizontal="right"/>
    </xf>
    <xf numFmtId="0" fontId="0" fillId="0" borderId="5" xfId="5" applyFont="1" applyBorder="1" applyAlignment="1">
      <alignment horizontal="right"/>
    </xf>
    <xf numFmtId="0" fontId="7" fillId="3" borderId="5" xfId="5" applyFont="1" applyFill="1" applyBorder="1" applyAlignment="1">
      <alignment horizontal="right" wrapText="1"/>
    </xf>
    <xf numFmtId="3" fontId="7" fillId="11" borderId="0" xfId="0" applyNumberFormat="1" applyFont="1" applyFill="1"/>
    <xf numFmtId="3" fontId="0" fillId="0" borderId="0" xfId="0" applyNumberFormat="1" applyAlignment="1">
      <alignment horizontal="right"/>
    </xf>
    <xf numFmtId="3" fontId="7" fillId="11" borderId="0" xfId="0" applyNumberFormat="1" applyFont="1" applyFill="1" applyAlignment="1">
      <alignment wrapText="1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4" fillId="0" borderId="0" xfId="5" applyFont="1" applyAlignment="1">
      <alignment horizontal="left"/>
    </xf>
    <xf numFmtId="0" fontId="11" fillId="0" borderId="0" xfId="5" applyFont="1" applyAlignment="1">
      <alignment horizontal="left"/>
    </xf>
    <xf numFmtId="0" fontId="15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0" fontId="9" fillId="15" borderId="0" xfId="0" applyFont="1" applyFill="1"/>
    <xf numFmtId="0" fontId="0" fillId="15" borderId="0" xfId="0" applyFill="1"/>
    <xf numFmtId="0" fontId="0" fillId="0" borderId="0" xfId="0" applyFill="1"/>
    <xf numFmtId="0" fontId="8" fillId="0" borderId="0" xfId="0" applyFont="1" applyFill="1"/>
    <xf numFmtId="0" fontId="11" fillId="0" borderId="0" xfId="0" applyFont="1" applyAlignment="1">
      <alignment horizontal="left"/>
    </xf>
    <xf numFmtId="1" fontId="11" fillId="0" borderId="0" xfId="0" applyNumberFormat="1" applyFont="1" applyAlignment="1">
      <alignment horizontal="left"/>
    </xf>
    <xf numFmtId="0" fontId="6" fillId="0" borderId="0" xfId="0" applyFont="1" applyAlignment="1">
      <alignment horizontal="left" wrapText="1"/>
    </xf>
    <xf numFmtId="0" fontId="11" fillId="6" borderId="0" xfId="0" applyFont="1" applyFill="1" applyAlignment="1">
      <alignment horizontal="right" wrapText="1"/>
    </xf>
    <xf numFmtId="3" fontId="6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3" fontId="11" fillId="0" borderId="0" xfId="0" applyNumberFormat="1" applyFont="1"/>
    <xf numFmtId="3" fontId="6" fillId="6" borderId="0" xfId="1" applyNumberFormat="1" applyFont="1" applyFill="1"/>
    <xf numFmtId="1" fontId="6" fillId="0" borderId="0" xfId="0" applyNumberFormat="1" applyFont="1"/>
    <xf numFmtId="3" fontId="11" fillId="0" borderId="0" xfId="0" applyNumberFormat="1" applyFont="1" applyAlignment="1">
      <alignment horizontal="right"/>
    </xf>
    <xf numFmtId="0" fontId="7" fillId="0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3" fontId="9" fillId="15" borderId="0" xfId="0" applyNumberFormat="1" applyFont="1" applyFill="1"/>
  </cellXfs>
  <cellStyles count="7">
    <cellStyle name="Comma" xfId="1" builtinId="3"/>
    <cellStyle name="Comma 2" xfId="4" xr:uid="{B51701F6-E5E8-43A4-AF85-FDFD5B36D163}"/>
    <cellStyle name="Comma 5" xfId="6" xr:uid="{2E28F5B8-4BED-4F19-80DC-5386E5BA4A7A}"/>
    <cellStyle name="Hyperlink" xfId="2" builtinId="8"/>
    <cellStyle name="Normal" xfId="0" builtinId="0"/>
    <cellStyle name="Normal 2" xfId="3" xr:uid="{43FAE282-4A96-4CB4-B012-D0BEA41C2BCF}"/>
    <cellStyle name="Normal 5" xfId="5" xr:uid="{1AE2A061-4EDA-4262-966F-D622E76A5AEF}"/>
  </cellStyles>
  <dxfs count="56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&quot;$&quot;#,##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391527</xdr:colOff>
      <xdr:row>33</xdr:row>
      <xdr:rowOff>97422</xdr:rowOff>
    </xdr:from>
    <xdr:to>
      <xdr:col>28</xdr:col>
      <xdr:colOff>124493</xdr:colOff>
      <xdr:row>61</xdr:row>
      <xdr:rowOff>115750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2B6F6-1F59-4BA2-B747-0E9171C28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32127" y="6098172"/>
          <a:ext cx="5219366" cy="1404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D7AA6F-96E4-4FB8-BD38-80A716C5D71C}" name="Table225" displayName="Table225" ref="B2:O49" totalsRowShown="0" dataDxfId="40">
  <tableColumns count="14">
    <tableColumn id="1" xr3:uid="{48923117-08ED-40BF-860A-6D35643AA53F}" name="FIM Category" dataDxfId="39"/>
    <tableColumn id="2" xr3:uid="{7F48BF94-B33F-44CB-BFF6-87878CE3406B}" name="Provision" dataDxfId="38"/>
    <tableColumn id="3" xr3:uid="{215933B5-DF07-4193-86B9-A9E0C36E1C37}" name="Description" dataDxfId="37"/>
    <tableColumn id="4" xr3:uid="{EB1DFE9D-68EE-4AA1-A326-FFB240C3F9ED}" name="2025" dataDxfId="36"/>
    <tableColumn id="5" xr3:uid="{CE7D1352-3F9D-45FA-892C-EE43C7075427}" name="2026" dataDxfId="35"/>
    <tableColumn id="6" xr3:uid="{9EC9874D-53BF-4098-92B9-E35A6EE4AD08}" name="2027" dataDxfId="34"/>
    <tableColumn id="7" xr3:uid="{8DE226B7-B3D1-4B3A-87A6-0D8F6E3FFF3C}" name="2028" dataDxfId="33"/>
    <tableColumn id="8" xr3:uid="{024A676E-6701-41DD-A3D2-9FB4E9446B03}" name="2029" dataDxfId="32"/>
    <tableColumn id="10" xr3:uid="{640E2CA0-990D-4DC1-9910-E1920163A206}" name="2030" dataDxfId="31"/>
    <tableColumn id="9" xr3:uid="{8E2CD36D-6860-4E60-AB20-E5A675EFC6C9}" name="2031" dataDxfId="30"/>
    <tableColumn id="12" xr3:uid="{61173DE1-4426-4E63-8B07-AEB2A151BE4B}" name="2032" dataDxfId="29"/>
    <tableColumn id="13" xr3:uid="{E4A41F3B-E97C-49F8-8FD6-D48C03DDD347}" name="2033" dataDxfId="28"/>
    <tableColumn id="14" xr3:uid="{ACE81429-8256-4A57-86EE-2B404336AE95}" name="2034" dataDxfId="27"/>
    <tableColumn id="11" xr3:uid="{0B9044B6-57B2-4C61-9F58-740629E2C1B1}" name="2025-2034 Totals" dataDxfId="2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B6953E-6BFB-4DBC-81A6-DE19F864DF12}" name="Table24" displayName="Table24" ref="B2:K20" totalsRowShown="0" dataDxfId="25">
  <tableColumns count="10">
    <tableColumn id="1" xr3:uid="{3D36799C-C183-4AD2-BFBB-AB1992100D90}" name="FIM Category" dataDxfId="24"/>
    <tableColumn id="2" xr3:uid="{1AC340EA-4DBE-4C52-AF27-93AD05E57129}" name="Provision" dataDxfId="23"/>
    <tableColumn id="3" xr3:uid="{730947C5-3FCC-468A-B97C-1282377F35F1}" name="Description" dataDxfId="22"/>
    <tableColumn id="4" xr3:uid="{A012AC97-2F14-48AE-81F4-830CC8E2A309}" name="2025" dataDxfId="21"/>
    <tableColumn id="5" xr3:uid="{023C56A1-BF9E-4143-AB00-96B144EDCA76}" name="2026" dataDxfId="20"/>
    <tableColumn id="6" xr3:uid="{134CD888-8329-4E29-A894-78CD81623904}" name="2027" dataDxfId="19"/>
    <tableColumn id="7" xr3:uid="{86F8C08C-AB49-4D81-9B03-2BA2D23F5E4C}" name="2028" dataDxfId="18"/>
    <tableColumn id="8" xr3:uid="{F7D50089-4B29-4C31-8E86-42A6DA126DCA}" name="2029" dataDxfId="17"/>
    <tableColumn id="10" xr3:uid="{4099EB1C-43F2-4100-A7CC-F3256C5C1405}" name="2030" dataDxfId="16"/>
    <tableColumn id="9" xr3:uid="{0C0842DB-8B15-45A5-AD44-DA2D3A771E1E}" name="2031" dataDxfId="1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26E020-0EDF-4DF5-9567-C4A622782659}" name="Table2253" displayName="Table2253" ref="B2:O49" totalsRowShown="0" dataDxfId="14">
  <tableColumns count="14">
    <tableColumn id="1" xr3:uid="{67BB1EBB-B14C-4642-888A-E4FCCD9A62F7}" name="FIM Category" dataDxfId="13"/>
    <tableColumn id="2" xr3:uid="{38DCD95D-E7B5-4BCA-9A5B-3B5EA1FFAD79}" name="Provision" dataDxfId="12"/>
    <tableColumn id="3" xr3:uid="{581DE72C-3A0F-431E-98F1-516ECD1E1222}" name="Description" dataDxfId="11"/>
    <tableColumn id="4" xr3:uid="{359643C4-104E-4A1E-BF12-5C063711291D}" name="2025" dataDxfId="10">
      <calculatedColumnFormula>Table22[[#This Row],[2025]]-Table225[[#This Row],[2025]]</calculatedColumnFormula>
    </tableColumn>
    <tableColumn id="5" xr3:uid="{F87C78C0-6868-4F8E-9D51-F8EC7C0A3B9A}" name="2026" dataDxfId="9">
      <calculatedColumnFormula>Table22[[#This Row],[2026]]-Table225[[#This Row],[2026]]</calculatedColumnFormula>
    </tableColumn>
    <tableColumn id="6" xr3:uid="{688122AB-8712-440C-9940-5F18D5852E09}" name="2027" dataDxfId="8">
      <calculatedColumnFormula>Table22[[#This Row],[2027]]-Table225[[#This Row],[2027]]</calculatedColumnFormula>
    </tableColumn>
    <tableColumn id="7" xr3:uid="{23BC2D95-E2EA-4877-B108-85EABA57C110}" name="2028" dataDxfId="7">
      <calculatedColumnFormula>Table22[[#This Row],[2028]]-Table225[[#This Row],[2028]]</calculatedColumnFormula>
    </tableColumn>
    <tableColumn id="8" xr3:uid="{B3043706-8A82-4192-9BAE-F7DD8CEB1816}" name="2029" dataDxfId="6">
      <calculatedColumnFormula>Table22[[#This Row],[2029]]-Table225[[#This Row],[2029]]</calculatedColumnFormula>
    </tableColumn>
    <tableColumn id="10" xr3:uid="{1F941659-518C-4973-A5B2-03F5E1E1FC5C}" name="2030" dataDxfId="5">
      <calculatedColumnFormula>Table22[[#This Row],[2030]]-Table225[[#This Row],[2030]]</calculatedColumnFormula>
    </tableColumn>
    <tableColumn id="9" xr3:uid="{F6D4CCF3-3D31-40FA-81A9-30EF1BC7B3DE}" name="2031" dataDxfId="4">
      <calculatedColumnFormula>Table22[[#This Row],[2031]]-Table225[[#This Row],[2031]]</calculatedColumnFormula>
    </tableColumn>
    <tableColumn id="12" xr3:uid="{E878B453-CF9D-416E-9BB0-4FAB7F9A504B}" name="2032" dataDxfId="3">
      <calculatedColumnFormula>Table22[[#This Row],[2032]]-Table225[[#This Row],[2032]]</calculatedColumnFormula>
    </tableColumn>
    <tableColumn id="13" xr3:uid="{C7031629-1446-405A-ABCB-1B989547B743}" name="2033" dataDxfId="2">
      <calculatedColumnFormula>Table22[[#This Row],[2033]]-Table225[[#This Row],[2033]]</calculatedColumnFormula>
    </tableColumn>
    <tableColumn id="14" xr3:uid="{47E72E41-A984-4C1A-A9BE-4778A7B4DD3F}" name="2034" dataDxfId="1">
      <calculatedColumnFormula>Table22[[#This Row],[2034]]-Table225[[#This Row],[2034]]</calculatedColumnFormula>
    </tableColumn>
    <tableColumn id="11" xr3:uid="{318D5F36-E8AD-4BF0-943D-B4FE005FE777}" name="2025-2034 Totals" dataDxfId="0">
      <calculatedColumnFormula>Table22[[#This Row],[2025-2034 Totals]]-Table225[[#This Row],[2025-2034 Totals]]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B0772-BF20-41B3-A234-8DEF1F686629}" name="Table22" displayName="Table22" ref="C2:P54" totalsRowShown="0" dataDxfId="55">
  <tableColumns count="14">
    <tableColumn id="1" xr3:uid="{2108DE54-B21A-45A2-AA2E-8308DE162B3E}" name="FIM Category" dataDxfId="54"/>
    <tableColumn id="2" xr3:uid="{F0A32B64-E4BF-43B4-BDDD-9D96791CB60A}" name="Provision" dataDxfId="53"/>
    <tableColumn id="3" xr3:uid="{2A6DB084-C21F-44B8-A263-B9423AB6FC0D}" name="Description" dataDxfId="52"/>
    <tableColumn id="4" xr3:uid="{0070D0AC-B935-4FFE-B24E-DBC4C9A8704C}" name="2025" dataDxfId="51"/>
    <tableColumn id="5" xr3:uid="{8238744C-3DF5-405C-A319-D432430A741A}" name="2026" dataDxfId="50"/>
    <tableColumn id="6" xr3:uid="{6F5F051F-3F36-4E07-8181-1E46487D67E0}" name="2027" dataDxfId="49"/>
    <tableColumn id="7" xr3:uid="{87521439-7C68-44EC-A0E1-68D57C4825DA}" name="2028" dataDxfId="48"/>
    <tableColumn id="8" xr3:uid="{3A3F8805-5702-47A7-B2B6-2528C7F2C640}" name="2029" dataDxfId="47"/>
    <tableColumn id="10" xr3:uid="{5188FCE9-4D66-46B2-B066-39151BF534E0}" name="2030" dataDxfId="46"/>
    <tableColumn id="9" xr3:uid="{7E0AD104-B1D1-40A4-BCF9-3BD2349AAB87}" name="2031" dataDxfId="45"/>
    <tableColumn id="12" xr3:uid="{106283A5-0BF7-4FC9-8382-0713793B2478}" name="2032" dataDxfId="44"/>
    <tableColumn id="13" xr3:uid="{003691B4-DE91-4883-B461-97EA5492813E}" name="2033" dataDxfId="43"/>
    <tableColumn id="14" xr3:uid="{0406F704-2FB9-4519-A94B-39EDC0DAF482}" name="2034" dataDxfId="42"/>
    <tableColumn id="11" xr3:uid="{D834C730-B466-4BE3-92DF-4266457FFCE9}" name="2025-2034 Totals" dataDxfId="4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ytimes.com/interactive/2025/06/30/upshot/senate-republican-megabill.html" TargetMode="External"/><Relationship Id="rId2" Type="http://schemas.openxmlformats.org/officeDocument/2006/relationships/hyperlink" Target="https://taxfoundation.org/research/all/federal/big-beautiful-bill-senate-gop-tax-plan/" TargetMode="External"/><Relationship Id="rId1" Type="http://schemas.openxmlformats.org/officeDocument/2006/relationships/hyperlink" Target="https://waysandmeans.house.gov/wp-content/uploads/2025/05/The-One-Big-Beautiful-Bill-Section-by-Section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cbo.gov/system/files/2025-05/Klobuchar-Craig-Letter-SNAP_5-22-25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cbo.gov/system/files/2025-05/Klobuchar-Craig-Letter-SNAP_5-22-25.pd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bo.gov/system/files/2025-05/Klobuchar-Craig-Letter-SNAP_5-22-25.pdf" TargetMode="External"/><Relationship Id="rId1" Type="http://schemas.openxmlformats.org/officeDocument/2006/relationships/hyperlink" Target="https://www.cassidy.senate.gov/wp-content/uploads/2025/06/HELP-Section-by-Section-Updated-6-30-25.pdf" TargetMode="Externa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AAF4-E7B1-43E3-A462-A2A6D86C5707}">
  <dimension ref="A1:K25"/>
  <sheetViews>
    <sheetView topLeftCell="A10" workbookViewId="0">
      <selection activeCell="J22" sqref="J22"/>
    </sheetView>
  </sheetViews>
  <sheetFormatPr defaultRowHeight="14.5" x14ac:dyDescent="0.35"/>
  <sheetData>
    <row r="1" spans="1:11" x14ac:dyDescent="0.35">
      <c r="A1" s="13" t="s">
        <v>9</v>
      </c>
      <c r="J1" s="13" t="s">
        <v>10</v>
      </c>
    </row>
    <row r="2" spans="1:11" x14ac:dyDescent="0.35">
      <c r="A2" s="70" t="s">
        <v>11</v>
      </c>
      <c r="J2" s="70" t="s">
        <v>12</v>
      </c>
    </row>
    <row r="3" spans="1:11" x14ac:dyDescent="0.35">
      <c r="A3" s="70" t="s">
        <v>13</v>
      </c>
      <c r="J3" s="70" t="s">
        <v>14</v>
      </c>
    </row>
    <row r="4" spans="1:11" x14ac:dyDescent="0.35">
      <c r="A4" s="70" t="s">
        <v>15</v>
      </c>
      <c r="J4" t="s">
        <v>16</v>
      </c>
    </row>
    <row r="5" spans="1:11" x14ac:dyDescent="0.35">
      <c r="A5" s="70" t="s">
        <v>17</v>
      </c>
      <c r="J5" s="70" t="s">
        <v>18</v>
      </c>
    </row>
    <row r="6" spans="1:11" x14ac:dyDescent="0.35">
      <c r="A6" t="s">
        <v>19</v>
      </c>
      <c r="J6" s="13" t="s">
        <v>20</v>
      </c>
    </row>
    <row r="7" spans="1:11" x14ac:dyDescent="0.35">
      <c r="A7" s="70" t="s">
        <v>21</v>
      </c>
      <c r="J7" t="s">
        <v>22</v>
      </c>
      <c r="K7" t="s">
        <v>23</v>
      </c>
    </row>
    <row r="8" spans="1:11" x14ac:dyDescent="0.35">
      <c r="A8" s="70" t="s">
        <v>24</v>
      </c>
      <c r="J8" t="s">
        <v>25</v>
      </c>
      <c r="K8" t="s">
        <v>26</v>
      </c>
    </row>
    <row r="9" spans="1:11" x14ac:dyDescent="0.35">
      <c r="A9" s="70" t="s">
        <v>27</v>
      </c>
    </row>
    <row r="11" spans="1:11" x14ac:dyDescent="0.35">
      <c r="A11" t="s">
        <v>28</v>
      </c>
      <c r="J11" s="13" t="s">
        <v>29</v>
      </c>
    </row>
    <row r="12" spans="1:11" x14ac:dyDescent="0.35">
      <c r="B12" t="s">
        <v>30</v>
      </c>
      <c r="I12" t="s">
        <v>31</v>
      </c>
      <c r="J12" t="s">
        <v>32</v>
      </c>
    </row>
    <row r="13" spans="1:11" x14ac:dyDescent="0.35">
      <c r="B13" t="s">
        <v>33</v>
      </c>
      <c r="I13" t="s">
        <v>31</v>
      </c>
      <c r="J13" t="s">
        <v>34</v>
      </c>
    </row>
    <row r="14" spans="1:11" x14ac:dyDescent="0.35">
      <c r="B14" t="s">
        <v>35</v>
      </c>
      <c r="I14" t="s">
        <v>31</v>
      </c>
      <c r="K14" t="s">
        <v>36</v>
      </c>
    </row>
    <row r="15" spans="1:11" x14ac:dyDescent="0.35">
      <c r="I15" t="s">
        <v>31</v>
      </c>
      <c r="J15" t="s">
        <v>37</v>
      </c>
    </row>
    <row r="16" spans="1:11" x14ac:dyDescent="0.35">
      <c r="I16" t="s">
        <v>31</v>
      </c>
      <c r="J16" t="s">
        <v>38</v>
      </c>
    </row>
    <row r="17" spans="1:10" x14ac:dyDescent="0.35">
      <c r="A17" t="s">
        <v>39</v>
      </c>
      <c r="C17" t="s">
        <v>40</v>
      </c>
      <c r="I17" t="s">
        <v>41</v>
      </c>
      <c r="J17" t="s">
        <v>42</v>
      </c>
    </row>
    <row r="18" spans="1:10" x14ac:dyDescent="0.35">
      <c r="A18" t="s">
        <v>43</v>
      </c>
    </row>
    <row r="19" spans="1:10" x14ac:dyDescent="0.35">
      <c r="A19" t="s">
        <v>44</v>
      </c>
    </row>
    <row r="20" spans="1:10" x14ac:dyDescent="0.35">
      <c r="A20" t="s">
        <v>45</v>
      </c>
    </row>
    <row r="22" spans="1:10" x14ac:dyDescent="0.35">
      <c r="J22" t="s">
        <v>10</v>
      </c>
    </row>
    <row r="23" spans="1:10" x14ac:dyDescent="0.35">
      <c r="J23" t="s">
        <v>46</v>
      </c>
    </row>
    <row r="24" spans="1:10" x14ac:dyDescent="0.35">
      <c r="J24" t="s">
        <v>47</v>
      </c>
    </row>
    <row r="25" spans="1:10" x14ac:dyDescent="0.35">
      <c r="J25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05D4-B835-4FAD-88DB-A62AD44D6B8D}">
  <dimension ref="A1:C14"/>
  <sheetViews>
    <sheetView tabSelected="1" zoomScaleNormal="100" workbookViewId="0">
      <selection activeCell="B16" sqref="B16"/>
    </sheetView>
  </sheetViews>
  <sheetFormatPr defaultRowHeight="14.5" x14ac:dyDescent="0.35"/>
  <cols>
    <col min="1" max="1" width="26.1796875" customWidth="1"/>
    <col min="2" max="2" width="93.54296875" customWidth="1"/>
  </cols>
  <sheetData>
    <row r="1" spans="1:3" x14ac:dyDescent="0.35">
      <c r="A1" s="13" t="s">
        <v>358</v>
      </c>
    </row>
    <row r="2" spans="1:3" x14ac:dyDescent="0.35">
      <c r="A2" s="71" t="s">
        <v>0</v>
      </c>
      <c r="B2" s="72" t="s">
        <v>1</v>
      </c>
    </row>
    <row r="3" spans="1:3" x14ac:dyDescent="0.35">
      <c r="A3" t="s">
        <v>2</v>
      </c>
      <c r="B3" s="3" t="s">
        <v>3</v>
      </c>
    </row>
    <row r="4" spans="1:3" x14ac:dyDescent="0.35">
      <c r="A4" t="s">
        <v>4</v>
      </c>
      <c r="B4" s="3" t="s">
        <v>5</v>
      </c>
    </row>
    <row r="5" spans="1:3" x14ac:dyDescent="0.35">
      <c r="A5" s="26" t="s">
        <v>6</v>
      </c>
      <c r="B5" s="27" t="s">
        <v>356</v>
      </c>
      <c r="C5" t="s">
        <v>440</v>
      </c>
    </row>
    <row r="6" spans="1:3" x14ac:dyDescent="0.35">
      <c r="B6" s="3" t="s">
        <v>7</v>
      </c>
      <c r="C6" t="s">
        <v>359</v>
      </c>
    </row>
    <row r="7" spans="1:3" x14ac:dyDescent="0.35">
      <c r="A7" s="26" t="s">
        <v>8</v>
      </c>
      <c r="B7" s="27" t="s">
        <v>357</v>
      </c>
    </row>
    <row r="8" spans="1:3" x14ac:dyDescent="0.35">
      <c r="A8" s="13"/>
    </row>
    <row r="9" spans="1:3" x14ac:dyDescent="0.35">
      <c r="A9" s="122" t="s">
        <v>361</v>
      </c>
      <c r="B9" s="13" t="s">
        <v>438</v>
      </c>
    </row>
    <row r="10" spans="1:3" x14ac:dyDescent="0.35">
      <c r="A10" t="s">
        <v>125</v>
      </c>
      <c r="B10" t="s">
        <v>364</v>
      </c>
    </row>
    <row r="11" spans="1:3" x14ac:dyDescent="0.35">
      <c r="A11" t="s">
        <v>360</v>
      </c>
      <c r="B11" t="s">
        <v>439</v>
      </c>
    </row>
    <row r="12" spans="1:3" x14ac:dyDescent="0.35">
      <c r="A12" t="s">
        <v>362</v>
      </c>
      <c r="B12" t="s">
        <v>442</v>
      </c>
    </row>
    <row r="13" spans="1:3" x14ac:dyDescent="0.35">
      <c r="A13" t="s">
        <v>363</v>
      </c>
      <c r="B13" t="s">
        <v>441</v>
      </c>
    </row>
    <row r="14" spans="1:3" x14ac:dyDescent="0.35">
      <c r="A14" t="s">
        <v>111</v>
      </c>
      <c r="B14" t="s">
        <v>443</v>
      </c>
    </row>
  </sheetData>
  <hyperlinks>
    <hyperlink ref="B3" r:id="rId1" xr:uid="{7202C368-485B-4AC1-BAE0-23268C4E0A78}"/>
    <hyperlink ref="B4" r:id="rId2" xr:uid="{47F2D814-AD9B-442D-A004-A37604A9E03D}"/>
    <hyperlink ref="B6" r:id="rId3" xr:uid="{24928DA3-500C-40EF-A11F-081AA0BE1D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49A9-0A81-4F45-AE13-FA5711126DC5}">
  <dimension ref="A1:O40"/>
  <sheetViews>
    <sheetView zoomScale="81" zoomScaleNormal="70" workbookViewId="0">
      <selection activeCell="E39" sqref="E39"/>
    </sheetView>
  </sheetViews>
  <sheetFormatPr defaultRowHeight="14.5" x14ac:dyDescent="0.35"/>
  <cols>
    <col min="1" max="1" width="19" bestFit="1" customWidth="1"/>
    <col min="2" max="2" width="11.1796875" bestFit="1" customWidth="1"/>
    <col min="3" max="3" width="95.26953125" bestFit="1" customWidth="1"/>
  </cols>
  <sheetData>
    <row r="1" spans="1:15" x14ac:dyDescent="0.35">
      <c r="D1" s="113" t="s">
        <v>156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26" x14ac:dyDescent="0.35">
      <c r="A2" t="s">
        <v>51</v>
      </c>
      <c r="B2" t="s">
        <v>157</v>
      </c>
      <c r="C2" t="s">
        <v>53</v>
      </c>
      <c r="D2" s="74">
        <v>2025</v>
      </c>
      <c r="E2" s="74">
        <v>2026</v>
      </c>
      <c r="F2" s="74">
        <v>2027</v>
      </c>
      <c r="G2" s="74">
        <v>2028</v>
      </c>
      <c r="H2" s="74">
        <v>2029</v>
      </c>
      <c r="I2" s="74">
        <v>2030</v>
      </c>
      <c r="J2" s="74">
        <v>2031</v>
      </c>
      <c r="K2" s="74">
        <v>2032</v>
      </c>
      <c r="L2" s="74">
        <v>2033</v>
      </c>
      <c r="M2" s="74">
        <v>2034</v>
      </c>
      <c r="N2" s="75" t="s">
        <v>158</v>
      </c>
      <c r="O2" s="75" t="s">
        <v>159</v>
      </c>
    </row>
    <row r="3" spans="1:15" x14ac:dyDescent="0.35">
      <c r="A3" t="s">
        <v>160</v>
      </c>
      <c r="B3">
        <v>70101</v>
      </c>
      <c r="C3" s="13" t="s">
        <v>161</v>
      </c>
      <c r="D3" s="9">
        <v>0</v>
      </c>
      <c r="E3" s="9">
        <v>0</v>
      </c>
      <c r="F3" s="9">
        <v>1249</v>
      </c>
      <c r="G3" s="9">
        <v>1247</v>
      </c>
      <c r="H3" s="9">
        <v>1273</v>
      </c>
      <c r="I3" s="9">
        <v>1291</v>
      </c>
      <c r="J3" s="9">
        <v>1324</v>
      </c>
      <c r="K3" s="9">
        <v>1396</v>
      </c>
      <c r="L3" s="9">
        <v>1460</v>
      </c>
      <c r="M3" s="9">
        <v>1511</v>
      </c>
      <c r="N3" s="55">
        <v>3769</v>
      </c>
      <c r="O3" s="55">
        <v>10751</v>
      </c>
    </row>
    <row r="4" spans="1:15" x14ac:dyDescent="0.35">
      <c r="A4" t="s">
        <v>160</v>
      </c>
      <c r="B4">
        <v>70102</v>
      </c>
      <c r="C4" s="13" t="s">
        <v>162</v>
      </c>
      <c r="D4" s="9">
        <v>0</v>
      </c>
      <c r="E4" s="9">
        <v>1719</v>
      </c>
      <c r="F4" s="9">
        <v>13128</v>
      </c>
      <c r="G4" s="9">
        <v>13012</v>
      </c>
      <c r="H4" s="9">
        <v>13059</v>
      </c>
      <c r="I4" s="9">
        <v>13224</v>
      </c>
      <c r="J4" s="9">
        <v>13384</v>
      </c>
      <c r="K4" s="9">
        <v>13644</v>
      </c>
      <c r="L4" s="9">
        <v>13975</v>
      </c>
      <c r="M4" s="9">
        <v>14370</v>
      </c>
      <c r="N4" s="55">
        <v>40918</v>
      </c>
      <c r="O4" s="55">
        <v>109515</v>
      </c>
    </row>
    <row r="5" spans="1:15" x14ac:dyDescent="0.35">
      <c r="A5" t="s">
        <v>160</v>
      </c>
      <c r="B5">
        <v>70103</v>
      </c>
      <c r="C5" s="13" t="s">
        <v>163</v>
      </c>
      <c r="D5" s="9">
        <v>0</v>
      </c>
      <c r="E5" s="9">
        <v>411</v>
      </c>
      <c r="F5" s="9">
        <v>-17340</v>
      </c>
      <c r="G5" s="9">
        <v>-17039</v>
      </c>
      <c r="H5" s="9">
        <v>-17075</v>
      </c>
      <c r="I5" s="9">
        <v>-17475</v>
      </c>
      <c r="J5" s="9">
        <v>-17590</v>
      </c>
      <c r="K5" s="9">
        <v>-17741</v>
      </c>
      <c r="L5" s="9">
        <v>-17927</v>
      </c>
      <c r="M5" s="9">
        <v>-18387</v>
      </c>
      <c r="N5" s="55">
        <v>-51043</v>
      </c>
      <c r="O5" s="55">
        <v>-140163</v>
      </c>
    </row>
    <row r="6" spans="1:15" x14ac:dyDescent="0.35">
      <c r="A6" t="s">
        <v>160</v>
      </c>
      <c r="B6">
        <v>70104</v>
      </c>
      <c r="C6" s="13" t="s">
        <v>164</v>
      </c>
      <c r="D6" s="9">
        <v>0</v>
      </c>
      <c r="E6" s="9">
        <v>0</v>
      </c>
      <c r="F6" s="9">
        <v>22285</v>
      </c>
      <c r="G6" s="9">
        <v>22300</v>
      </c>
      <c r="H6" s="9">
        <v>23227</v>
      </c>
      <c r="I6" s="9">
        <v>23399</v>
      </c>
      <c r="J6" s="9">
        <v>24361</v>
      </c>
      <c r="K6" s="9">
        <v>24035</v>
      </c>
      <c r="L6" s="9">
        <v>25578</v>
      </c>
      <c r="M6" s="9">
        <v>25314</v>
      </c>
      <c r="N6" s="55">
        <v>67812</v>
      </c>
      <c r="O6" s="55">
        <v>190501</v>
      </c>
    </row>
    <row r="7" spans="1:15" x14ac:dyDescent="0.35">
      <c r="A7" t="s">
        <v>165</v>
      </c>
      <c r="B7">
        <v>70120</v>
      </c>
      <c r="C7" s="13" t="s">
        <v>166</v>
      </c>
      <c r="D7" s="9">
        <v>0</v>
      </c>
      <c r="E7" s="9">
        <v>188</v>
      </c>
      <c r="F7" s="9">
        <v>-425</v>
      </c>
      <c r="G7" s="9">
        <v>-239</v>
      </c>
      <c r="H7" s="9">
        <v>-250</v>
      </c>
      <c r="I7" s="9">
        <v>-235</v>
      </c>
      <c r="J7" s="9">
        <v>-413</v>
      </c>
      <c r="K7" s="9">
        <v>-241</v>
      </c>
      <c r="L7" s="9">
        <v>-223</v>
      </c>
      <c r="M7" s="9">
        <v>-216</v>
      </c>
      <c r="N7" s="82">
        <v>-726</v>
      </c>
      <c r="O7" s="82">
        <v>-2054</v>
      </c>
    </row>
    <row r="8" spans="1:15" x14ac:dyDescent="0.35">
      <c r="A8" t="s">
        <v>160</v>
      </c>
      <c r="B8">
        <v>70204</v>
      </c>
      <c r="C8" t="s">
        <v>167</v>
      </c>
      <c r="D8" s="9">
        <v>644</v>
      </c>
      <c r="E8" s="9">
        <v>5896</v>
      </c>
      <c r="F8" s="9">
        <v>3314</v>
      </c>
      <c r="G8" s="9">
        <v>3300</v>
      </c>
      <c r="H8" s="9">
        <v>91</v>
      </c>
      <c r="I8" s="9">
        <v>91</v>
      </c>
      <c r="J8" s="9">
        <v>91</v>
      </c>
      <c r="K8" s="9">
        <v>91</v>
      </c>
      <c r="L8" s="9">
        <v>91</v>
      </c>
      <c r="M8" s="9">
        <v>86</v>
      </c>
      <c r="N8" s="55">
        <v>13245</v>
      </c>
      <c r="O8" s="55">
        <v>13695</v>
      </c>
    </row>
    <row r="9" spans="1:15" x14ac:dyDescent="0.35">
      <c r="A9" t="s">
        <v>160</v>
      </c>
      <c r="B9">
        <v>70402</v>
      </c>
      <c r="C9" t="s">
        <v>168</v>
      </c>
      <c r="D9" s="9">
        <v>185</v>
      </c>
      <c r="E9" s="9">
        <v>410</v>
      </c>
      <c r="F9" s="9">
        <v>293</v>
      </c>
      <c r="G9" s="9">
        <v>293</v>
      </c>
      <c r="H9" s="9">
        <v>178</v>
      </c>
      <c r="I9" s="9">
        <v>179</v>
      </c>
      <c r="J9" s="9">
        <v>179</v>
      </c>
      <c r="K9" s="9">
        <v>180</v>
      </c>
      <c r="L9" s="9">
        <v>181</v>
      </c>
      <c r="M9" s="9">
        <v>182</v>
      </c>
      <c r="N9" s="55">
        <v>1359</v>
      </c>
      <c r="O9" s="55">
        <v>2260</v>
      </c>
    </row>
    <row r="10" spans="1:15" x14ac:dyDescent="0.35">
      <c r="A10" t="s">
        <v>160</v>
      </c>
      <c r="B10">
        <v>70405</v>
      </c>
      <c r="C10" t="s">
        <v>169</v>
      </c>
      <c r="D10" s="83">
        <v>0</v>
      </c>
      <c r="E10" s="83">
        <v>0</v>
      </c>
      <c r="F10" s="83">
        <v>383</v>
      </c>
      <c r="G10" s="83">
        <v>401</v>
      </c>
      <c r="H10" s="83">
        <v>386</v>
      </c>
      <c r="I10" s="83">
        <v>401</v>
      </c>
      <c r="J10" s="83">
        <v>387</v>
      </c>
      <c r="K10" s="83">
        <v>383</v>
      </c>
      <c r="L10" s="83">
        <v>388</v>
      </c>
      <c r="M10" s="83">
        <v>383</v>
      </c>
      <c r="N10" s="55">
        <v>1170</v>
      </c>
      <c r="O10" s="55">
        <v>3112</v>
      </c>
    </row>
    <row r="11" spans="1:15" x14ac:dyDescent="0.35">
      <c r="A11" t="s">
        <v>170</v>
      </c>
      <c r="B11">
        <v>70427</v>
      </c>
      <c r="C11" t="s">
        <v>171</v>
      </c>
      <c r="D11" s="9">
        <v>0</v>
      </c>
      <c r="E11" s="9">
        <v>251</v>
      </c>
      <c r="F11" s="9">
        <v>208</v>
      </c>
      <c r="G11" s="9">
        <v>208</v>
      </c>
      <c r="H11" s="9">
        <v>208</v>
      </c>
      <c r="I11" s="9">
        <v>208</v>
      </c>
      <c r="J11" s="9">
        <v>208</v>
      </c>
      <c r="K11" s="9">
        <v>208</v>
      </c>
      <c r="L11" s="9">
        <v>208</v>
      </c>
      <c r="M11" s="9">
        <v>208</v>
      </c>
      <c r="N11" s="55">
        <v>875</v>
      </c>
      <c r="O11" s="55">
        <v>1915</v>
      </c>
    </row>
    <row r="12" spans="1:15" x14ac:dyDescent="0.35">
      <c r="A12" t="s">
        <v>160</v>
      </c>
      <c r="B12">
        <v>70501</v>
      </c>
      <c r="C12" t="s">
        <v>172</v>
      </c>
      <c r="D12" s="9">
        <v>0</v>
      </c>
      <c r="E12" s="9">
        <v>43</v>
      </c>
      <c r="F12" s="9">
        <v>174</v>
      </c>
      <c r="G12" s="9">
        <v>217</v>
      </c>
      <c r="H12" s="9">
        <v>345</v>
      </c>
      <c r="I12" s="9">
        <v>454</v>
      </c>
      <c r="J12" s="9">
        <v>519</v>
      </c>
      <c r="K12" s="9">
        <v>637</v>
      </c>
      <c r="L12" s="9">
        <v>584</v>
      </c>
      <c r="M12" s="9">
        <v>0</v>
      </c>
      <c r="N12" s="55">
        <v>779</v>
      </c>
      <c r="O12" s="55">
        <v>2972</v>
      </c>
    </row>
    <row r="13" spans="1:15" x14ac:dyDescent="0.35">
      <c r="A13" t="s">
        <v>160</v>
      </c>
      <c r="B13">
        <v>70502</v>
      </c>
      <c r="C13" t="s">
        <v>173</v>
      </c>
      <c r="D13" s="9">
        <v>0</v>
      </c>
      <c r="E13" s="9">
        <v>-966</v>
      </c>
      <c r="F13" s="9">
        <v>-2932</v>
      </c>
      <c r="G13" s="9">
        <v>-7098</v>
      </c>
      <c r="H13" s="9">
        <v>-11729</v>
      </c>
      <c r="I13" s="9">
        <v>-14008</v>
      </c>
      <c r="J13" s="9">
        <v>-15700</v>
      </c>
      <c r="K13" s="9">
        <v>-17613</v>
      </c>
      <c r="L13" s="9">
        <v>0</v>
      </c>
      <c r="M13" s="9">
        <v>0</v>
      </c>
      <c r="N13" s="55">
        <v>-22725</v>
      </c>
      <c r="O13" s="55">
        <v>-70046</v>
      </c>
    </row>
    <row r="14" spans="1:15" x14ac:dyDescent="0.35">
      <c r="A14" t="s">
        <v>160</v>
      </c>
      <c r="B14">
        <v>70514</v>
      </c>
      <c r="C14" t="s">
        <v>174</v>
      </c>
      <c r="D14" s="9">
        <v>-27</v>
      </c>
      <c r="E14" s="9">
        <v>-95</v>
      </c>
      <c r="F14" s="9">
        <v>-138</v>
      </c>
      <c r="G14" s="9">
        <v>-132</v>
      </c>
      <c r="H14" s="9">
        <v>-117</v>
      </c>
      <c r="I14" s="9">
        <v>-91</v>
      </c>
      <c r="J14" s="9">
        <v>-74</v>
      </c>
      <c r="K14" s="9">
        <v>-58</v>
      </c>
      <c r="L14" s="9">
        <v>-18</v>
      </c>
      <c r="M14" s="9">
        <v>0</v>
      </c>
      <c r="N14" s="55">
        <v>-509</v>
      </c>
      <c r="O14" s="55">
        <v>-749</v>
      </c>
    </row>
    <row r="15" spans="1:15" x14ac:dyDescent="0.35">
      <c r="A15" t="s">
        <v>160</v>
      </c>
      <c r="B15">
        <v>71301</v>
      </c>
      <c r="C15" s="13" t="s">
        <v>175</v>
      </c>
      <c r="D15" s="9">
        <v>0</v>
      </c>
      <c r="E15" s="9">
        <v>0</v>
      </c>
      <c r="F15" s="9">
        <v>-5453</v>
      </c>
      <c r="G15" s="9">
        <v>-7923</v>
      </c>
      <c r="H15" s="9">
        <v>-8399</v>
      </c>
      <c r="I15" s="9">
        <v>-8796</v>
      </c>
      <c r="J15" s="9">
        <v>-9254</v>
      </c>
      <c r="K15" s="9">
        <v>-9713</v>
      </c>
      <c r="L15" s="9">
        <v>-9971</v>
      </c>
      <c r="M15" s="9">
        <v>-10256</v>
      </c>
      <c r="N15" s="55">
        <v>-21775</v>
      </c>
      <c r="O15" s="55">
        <v>-69765</v>
      </c>
    </row>
    <row r="16" spans="1:15" x14ac:dyDescent="0.35">
      <c r="A16" t="s">
        <v>160</v>
      </c>
      <c r="B16">
        <v>71302</v>
      </c>
      <c r="C16" s="13" t="s">
        <v>176</v>
      </c>
      <c r="D16" s="9">
        <v>0</v>
      </c>
      <c r="E16" s="9">
        <v>-3307</v>
      </c>
      <c r="F16" s="9">
        <v>-4746</v>
      </c>
      <c r="G16" s="9">
        <v>-5159</v>
      </c>
      <c r="H16" s="9">
        <v>-5426</v>
      </c>
      <c r="I16" s="9">
        <v>-5621</v>
      </c>
      <c r="J16" s="9">
        <v>-5913</v>
      </c>
      <c r="K16" s="9">
        <v>-6224</v>
      </c>
      <c r="L16" s="9">
        <v>-6436</v>
      </c>
      <c r="M16" s="9">
        <v>-6695</v>
      </c>
      <c r="N16" s="55">
        <v>-18638</v>
      </c>
      <c r="O16" s="55">
        <v>-49527</v>
      </c>
    </row>
    <row r="17" spans="1:15" x14ac:dyDescent="0.35">
      <c r="A17" t="s">
        <v>160</v>
      </c>
      <c r="B17">
        <v>71303</v>
      </c>
      <c r="C17" s="13" t="s">
        <v>177</v>
      </c>
      <c r="D17" s="9">
        <v>0</v>
      </c>
      <c r="E17" s="9">
        <v>0</v>
      </c>
      <c r="F17" s="9">
        <v>0</v>
      </c>
      <c r="G17" s="9">
        <v>-3521</v>
      </c>
      <c r="H17" s="9">
        <v>-5124</v>
      </c>
      <c r="I17" s="9">
        <v>-5161</v>
      </c>
      <c r="J17" s="9">
        <v>-5353</v>
      </c>
      <c r="K17" s="9">
        <v>-5560</v>
      </c>
      <c r="L17" s="9">
        <v>-5895</v>
      </c>
      <c r="M17" s="9">
        <v>-6316</v>
      </c>
      <c r="N17" s="55">
        <v>-8645</v>
      </c>
      <c r="O17" s="55">
        <v>-36930</v>
      </c>
    </row>
    <row r="18" spans="1:15" x14ac:dyDescent="0.35">
      <c r="A18" t="s">
        <v>160</v>
      </c>
      <c r="B18">
        <v>71304</v>
      </c>
      <c r="C18" s="13" t="s">
        <v>178</v>
      </c>
      <c r="D18" s="9">
        <v>0</v>
      </c>
      <c r="E18" s="9">
        <v>-1587</v>
      </c>
      <c r="F18" s="9">
        <v>-3293</v>
      </c>
      <c r="G18" s="9">
        <v>-4534</v>
      </c>
      <c r="H18" s="9">
        <v>-4963</v>
      </c>
      <c r="I18" s="9">
        <v>-4833</v>
      </c>
      <c r="J18" s="9">
        <v>-4810</v>
      </c>
      <c r="K18" s="9">
        <v>-4867</v>
      </c>
      <c r="L18" s="9">
        <v>-5191</v>
      </c>
      <c r="M18" s="9">
        <v>-5404</v>
      </c>
      <c r="N18" s="55">
        <v>-14377</v>
      </c>
      <c r="O18" s="55">
        <v>-39482</v>
      </c>
    </row>
    <row r="19" spans="1:15" x14ac:dyDescent="0.35">
      <c r="A19" t="s">
        <v>160</v>
      </c>
      <c r="B19">
        <v>71305</v>
      </c>
      <c r="C19" s="13" t="s">
        <v>179</v>
      </c>
      <c r="D19" s="9">
        <v>0</v>
      </c>
      <c r="E19" s="9">
        <v>-39</v>
      </c>
      <c r="F19" s="9">
        <v>-1973</v>
      </c>
      <c r="G19" s="9">
        <v>-1958</v>
      </c>
      <c r="H19" s="9">
        <v>-2106</v>
      </c>
      <c r="I19" s="9">
        <v>-2132</v>
      </c>
      <c r="J19" s="9">
        <v>-2181</v>
      </c>
      <c r="K19" s="9">
        <v>-2242</v>
      </c>
      <c r="L19" s="9">
        <v>-2264</v>
      </c>
      <c r="M19" s="9">
        <v>-2371</v>
      </c>
      <c r="N19" s="55">
        <v>-6076</v>
      </c>
      <c r="O19" s="55">
        <v>-17264</v>
      </c>
    </row>
    <row r="20" spans="1:15" x14ac:dyDescent="0.35">
      <c r="A20" t="s">
        <v>170</v>
      </c>
      <c r="B20">
        <v>70531</v>
      </c>
      <c r="C20" s="13" t="s">
        <v>180</v>
      </c>
      <c r="D20" s="9" t="s">
        <v>181</v>
      </c>
      <c r="E20" s="9" t="s">
        <v>181</v>
      </c>
      <c r="F20" s="9">
        <v>1232</v>
      </c>
      <c r="G20" s="9">
        <v>4989</v>
      </c>
      <c r="H20" s="9">
        <v>5054</v>
      </c>
      <c r="I20" s="9">
        <v>5140</v>
      </c>
      <c r="J20" s="9">
        <v>5264</v>
      </c>
      <c r="K20" s="9">
        <v>5404</v>
      </c>
      <c r="L20" s="9">
        <v>5547</v>
      </c>
      <c r="M20" s="9">
        <v>5688</v>
      </c>
      <c r="N20" s="55">
        <v>11275</v>
      </c>
      <c r="O20" s="55">
        <v>38318</v>
      </c>
    </row>
    <row r="21" spans="1:15" x14ac:dyDescent="0.35">
      <c r="A21" t="s">
        <v>170</v>
      </c>
      <c r="B21">
        <v>70301</v>
      </c>
      <c r="C21" s="13" t="s">
        <v>182</v>
      </c>
      <c r="D21" s="9">
        <v>-33505</v>
      </c>
      <c r="E21" s="9">
        <v>-65123</v>
      </c>
      <c r="F21" s="9">
        <v>-65216</v>
      </c>
      <c r="G21" s="9">
        <v>-57507</v>
      </c>
      <c r="H21" s="9">
        <v>-40839</v>
      </c>
      <c r="I21" s="9">
        <v>-28972</v>
      </c>
      <c r="J21" s="9">
        <v>-21560</v>
      </c>
      <c r="K21" s="9">
        <v>-17802</v>
      </c>
      <c r="L21" s="9">
        <v>-16256</v>
      </c>
      <c r="M21" s="9">
        <v>-15871</v>
      </c>
      <c r="N21" s="55">
        <v>-262190</v>
      </c>
      <c r="O21" s="55">
        <v>-362650</v>
      </c>
    </row>
    <row r="22" spans="1:15" x14ac:dyDescent="0.35">
      <c r="A22" t="s">
        <v>170</v>
      </c>
      <c r="B22">
        <v>70302</v>
      </c>
      <c r="C22" s="13" t="s">
        <v>183</v>
      </c>
      <c r="D22" s="9">
        <v>-53793</v>
      </c>
      <c r="E22" s="9">
        <v>-33585</v>
      </c>
      <c r="F22" s="9">
        <v>-20483</v>
      </c>
      <c r="G22" s="9">
        <v>-13794</v>
      </c>
      <c r="H22" s="9">
        <v>-7480</v>
      </c>
      <c r="I22" s="9">
        <v>-3186</v>
      </c>
      <c r="J22" s="9">
        <v>-2134</v>
      </c>
      <c r="K22" s="9">
        <v>-2240</v>
      </c>
      <c r="L22" s="9">
        <v>-2343</v>
      </c>
      <c r="M22" s="9">
        <v>-2424</v>
      </c>
      <c r="N22" s="55">
        <v>-129135</v>
      </c>
      <c r="O22" s="55">
        <v>-141463</v>
      </c>
    </row>
    <row r="23" spans="1:15" x14ac:dyDescent="0.35">
      <c r="A23" t="s">
        <v>170</v>
      </c>
      <c r="B23">
        <v>70303</v>
      </c>
      <c r="C23" s="13" t="s">
        <v>184</v>
      </c>
      <c r="D23" s="9">
        <v>-8268</v>
      </c>
      <c r="E23" s="9">
        <v>-6519</v>
      </c>
      <c r="F23" s="9">
        <v>-6183</v>
      </c>
      <c r="G23" s="9">
        <v>-5673</v>
      </c>
      <c r="H23" s="9">
        <v>-5260</v>
      </c>
      <c r="I23" s="9">
        <v>-5278</v>
      </c>
      <c r="J23" s="9">
        <v>-5507</v>
      </c>
      <c r="K23" s="9">
        <v>-5529</v>
      </c>
      <c r="L23" s="9">
        <v>-6043</v>
      </c>
      <c r="M23" s="9">
        <v>-6250</v>
      </c>
      <c r="N23" s="55">
        <v>-31903</v>
      </c>
      <c r="O23" s="55">
        <v>-60511</v>
      </c>
    </row>
    <row r="24" spans="1:15" x14ac:dyDescent="0.35">
      <c r="A24" t="s">
        <v>170</v>
      </c>
      <c r="B24">
        <v>70304</v>
      </c>
      <c r="C24" s="13" t="s">
        <v>185</v>
      </c>
      <c r="D24" s="9">
        <v>0</v>
      </c>
      <c r="E24" s="9">
        <v>-102</v>
      </c>
      <c r="F24" s="9">
        <v>-260</v>
      </c>
      <c r="G24" s="9">
        <v>-379</v>
      </c>
      <c r="H24" s="9">
        <v>-489</v>
      </c>
      <c r="I24" s="9">
        <v>-610</v>
      </c>
      <c r="J24" s="9">
        <v>-737</v>
      </c>
      <c r="K24" s="9">
        <v>-870</v>
      </c>
      <c r="L24" s="9">
        <v>-972</v>
      </c>
      <c r="M24" s="9">
        <v>-1036</v>
      </c>
      <c r="N24" s="55">
        <v>-1230</v>
      </c>
      <c r="O24" s="55">
        <v>-5454</v>
      </c>
    </row>
    <row r="25" spans="1:15" x14ac:dyDescent="0.35">
      <c r="A25" t="s">
        <v>170</v>
      </c>
      <c r="B25">
        <v>70305</v>
      </c>
      <c r="C25" s="13" t="s">
        <v>186</v>
      </c>
      <c r="D25" s="9">
        <v>0</v>
      </c>
      <c r="E25" s="9">
        <v>-42</v>
      </c>
      <c r="F25" s="9">
        <v>-96</v>
      </c>
      <c r="G25" s="9">
        <v>-100</v>
      </c>
      <c r="H25" s="9">
        <v>-106</v>
      </c>
      <c r="I25" s="9">
        <v>-112</v>
      </c>
      <c r="J25" s="9">
        <v>-116</v>
      </c>
      <c r="K25" s="9">
        <v>-120</v>
      </c>
      <c r="L25" s="9">
        <v>-125</v>
      </c>
      <c r="M25" s="9">
        <v>-131</v>
      </c>
      <c r="N25" s="55">
        <v>-344</v>
      </c>
      <c r="O25" s="55">
        <v>-948</v>
      </c>
    </row>
    <row r="26" spans="1:15" x14ac:dyDescent="0.35">
      <c r="A26" t="s">
        <v>170</v>
      </c>
      <c r="B26">
        <v>70306</v>
      </c>
      <c r="C26" s="13" t="s">
        <v>187</v>
      </c>
      <c r="D26" s="9">
        <v>-2301</v>
      </c>
      <c r="E26" s="9">
        <v>-4292</v>
      </c>
      <c r="F26" s="9">
        <v>-3613</v>
      </c>
      <c r="G26" s="9">
        <v>-2995</v>
      </c>
      <c r="H26" s="9">
        <v>-2516</v>
      </c>
      <c r="I26" s="9">
        <v>-2116</v>
      </c>
      <c r="J26" s="9">
        <v>-1873</v>
      </c>
      <c r="K26" s="9">
        <v>-1757</v>
      </c>
      <c r="L26" s="9">
        <v>-1697</v>
      </c>
      <c r="M26" s="9">
        <v>-1662</v>
      </c>
      <c r="N26" s="55">
        <v>-15717</v>
      </c>
      <c r="O26" s="55">
        <v>-24822</v>
      </c>
    </row>
    <row r="27" spans="1:15" x14ac:dyDescent="0.35">
      <c r="A27" t="s">
        <v>170</v>
      </c>
      <c r="B27">
        <v>70307</v>
      </c>
      <c r="C27" s="13" t="s">
        <v>188</v>
      </c>
      <c r="D27" s="9">
        <v>-2167</v>
      </c>
      <c r="E27" s="9">
        <v>-30280</v>
      </c>
      <c r="F27" s="9">
        <v>-34374</v>
      </c>
      <c r="G27" s="9">
        <v>-33959</v>
      </c>
      <c r="H27" s="9">
        <v>-28524</v>
      </c>
      <c r="I27" s="9">
        <v>-18339</v>
      </c>
      <c r="J27" s="9">
        <v>-4229</v>
      </c>
      <c r="K27" s="9">
        <v>1926</v>
      </c>
      <c r="L27" s="9">
        <v>3950</v>
      </c>
      <c r="M27" s="9">
        <v>4600</v>
      </c>
      <c r="N27" s="55">
        <v>-129304</v>
      </c>
      <c r="O27" s="55">
        <v>-141396</v>
      </c>
    </row>
    <row r="28" spans="1:15" x14ac:dyDescent="0.35">
      <c r="A28" t="s">
        <v>170</v>
      </c>
      <c r="B28">
        <v>70308</v>
      </c>
      <c r="C28" s="13" t="s">
        <v>189</v>
      </c>
      <c r="D28" s="9">
        <v>0</v>
      </c>
      <c r="E28" s="9">
        <v>-1728</v>
      </c>
      <c r="F28" s="9">
        <v>-2876</v>
      </c>
      <c r="G28" s="9">
        <v>-3566</v>
      </c>
      <c r="H28" s="9">
        <v>-2140</v>
      </c>
      <c r="I28" s="9">
        <v>-858</v>
      </c>
      <c r="J28" s="9">
        <v>-1024</v>
      </c>
      <c r="K28" s="9">
        <v>-1057</v>
      </c>
      <c r="L28" s="9">
        <v>-868</v>
      </c>
      <c r="M28" s="9">
        <v>-794</v>
      </c>
      <c r="N28" s="55">
        <v>-10310</v>
      </c>
      <c r="O28" s="55">
        <v>-14911</v>
      </c>
    </row>
    <row r="29" spans="1:15" x14ac:dyDescent="0.35">
      <c r="A29" t="s">
        <v>170</v>
      </c>
      <c r="B29">
        <v>70309</v>
      </c>
      <c r="C29" s="13" t="s">
        <v>190</v>
      </c>
      <c r="D29" s="9">
        <v>0</v>
      </c>
      <c r="E29" s="9">
        <v>-11</v>
      </c>
      <c r="F29" s="9">
        <v>-35</v>
      </c>
      <c r="G29" s="9">
        <v>-68</v>
      </c>
      <c r="H29" s="9">
        <v>-98</v>
      </c>
      <c r="I29" s="9">
        <v>-123</v>
      </c>
      <c r="J29" s="9">
        <v>-142</v>
      </c>
      <c r="K29" s="9">
        <v>-162</v>
      </c>
      <c r="L29" s="9">
        <v>-183</v>
      </c>
      <c r="M29" s="9">
        <v>-204</v>
      </c>
      <c r="N29" s="55">
        <v>-212</v>
      </c>
      <c r="O29" s="55">
        <v>-1026</v>
      </c>
    </row>
    <row r="30" spans="1:15" x14ac:dyDescent="0.35">
      <c r="A30" t="s">
        <v>170</v>
      </c>
      <c r="B30">
        <v>70311</v>
      </c>
      <c r="C30" s="13" t="s">
        <v>191</v>
      </c>
      <c r="D30" s="9">
        <v>0</v>
      </c>
      <c r="E30" s="9">
        <v>-1347</v>
      </c>
      <c r="F30" s="9">
        <v>-2806</v>
      </c>
      <c r="G30" s="9">
        <v>-3070</v>
      </c>
      <c r="H30" s="9">
        <v>-3543</v>
      </c>
      <c r="I30" s="9">
        <v>-3707</v>
      </c>
      <c r="J30" s="9">
        <v>-3698</v>
      </c>
      <c r="K30" s="9">
        <v>-3775</v>
      </c>
      <c r="L30" s="9">
        <v>-3810</v>
      </c>
      <c r="M30" s="9">
        <v>-3975</v>
      </c>
      <c r="N30" s="55">
        <v>-10766</v>
      </c>
      <c r="O30" s="55">
        <v>-29730</v>
      </c>
    </row>
    <row r="31" spans="1:15" x14ac:dyDescent="0.35">
      <c r="A31" t="s">
        <v>170</v>
      </c>
      <c r="B31">
        <v>70312</v>
      </c>
      <c r="C31" s="13" t="s">
        <v>192</v>
      </c>
      <c r="D31" s="9" t="s">
        <v>181</v>
      </c>
      <c r="E31" s="9">
        <v>-1476</v>
      </c>
      <c r="F31" s="9">
        <v>-3444</v>
      </c>
      <c r="G31" s="9">
        <v>-4036</v>
      </c>
      <c r="H31" s="9">
        <v>-3482</v>
      </c>
      <c r="I31" s="9">
        <v>-2561</v>
      </c>
      <c r="J31" s="9">
        <v>-2315</v>
      </c>
      <c r="K31" s="9">
        <v>-2441</v>
      </c>
      <c r="L31" s="9">
        <v>-2557</v>
      </c>
      <c r="M31" s="9">
        <v>-2405</v>
      </c>
      <c r="N31" s="55">
        <v>-12438</v>
      </c>
      <c r="O31" s="55">
        <v>-24716</v>
      </c>
    </row>
    <row r="32" spans="1:15" x14ac:dyDescent="0.35">
      <c r="A32" t="s">
        <v>170</v>
      </c>
      <c r="B32">
        <v>70313</v>
      </c>
      <c r="C32" s="13" t="s">
        <v>193</v>
      </c>
      <c r="D32" s="9">
        <v>0</v>
      </c>
      <c r="E32" s="9">
        <v>-462</v>
      </c>
      <c r="F32" s="9">
        <v>-756</v>
      </c>
      <c r="G32" s="9">
        <v>-644</v>
      </c>
      <c r="H32" s="9">
        <v>-813</v>
      </c>
      <c r="I32" s="9">
        <v>-857</v>
      </c>
      <c r="J32" s="9">
        <v>-704</v>
      </c>
      <c r="K32" s="9">
        <v>-618</v>
      </c>
      <c r="L32" s="9">
        <v>-647</v>
      </c>
      <c r="M32" s="9">
        <v>-874</v>
      </c>
      <c r="N32" s="55">
        <v>-2675</v>
      </c>
      <c r="O32" s="55">
        <v>-6376</v>
      </c>
    </row>
    <row r="33" spans="1:15" x14ac:dyDescent="0.35">
      <c r="A33" t="s">
        <v>170</v>
      </c>
      <c r="B33">
        <v>70321</v>
      </c>
      <c r="C33" s="13" t="s">
        <v>194</v>
      </c>
      <c r="D33" s="9">
        <v>0</v>
      </c>
      <c r="E33" s="9">
        <v>-4131</v>
      </c>
      <c r="F33" s="9">
        <v>-7871</v>
      </c>
      <c r="G33" s="9">
        <v>-8053</v>
      </c>
      <c r="H33" s="9">
        <v>-10963</v>
      </c>
      <c r="I33" s="9">
        <v>-11487</v>
      </c>
      <c r="J33" s="9">
        <v>-10024</v>
      </c>
      <c r="K33" s="9">
        <v>-11231</v>
      </c>
      <c r="L33" s="9">
        <v>-11910</v>
      </c>
      <c r="M33" s="9">
        <v>-11279</v>
      </c>
      <c r="N33" s="55">
        <v>-31018</v>
      </c>
      <c r="O33" s="55">
        <v>-86949</v>
      </c>
    </row>
    <row r="34" spans="1:15" x14ac:dyDescent="0.35">
      <c r="B34">
        <v>70322</v>
      </c>
      <c r="C34" s="13" t="s">
        <v>195</v>
      </c>
      <c r="D34" s="9">
        <v>0</v>
      </c>
      <c r="E34" s="9">
        <v>-2080</v>
      </c>
      <c r="F34" s="9">
        <v>-3553</v>
      </c>
      <c r="G34" s="9">
        <v>-2684</v>
      </c>
      <c r="H34" s="9">
        <v>-1008</v>
      </c>
      <c r="I34" s="9">
        <v>391</v>
      </c>
      <c r="J34" s="9">
        <v>539</v>
      </c>
      <c r="K34" s="9">
        <v>474</v>
      </c>
      <c r="L34" s="9">
        <v>100</v>
      </c>
      <c r="M34" s="9">
        <v>227</v>
      </c>
      <c r="N34" s="55">
        <v>-9325</v>
      </c>
      <c r="O34" s="55">
        <v>-7595</v>
      </c>
    </row>
    <row r="35" spans="1:15" x14ac:dyDescent="0.35">
      <c r="B35">
        <v>70323</v>
      </c>
      <c r="C35" s="13" t="s">
        <v>196</v>
      </c>
      <c r="D35">
        <v>0</v>
      </c>
      <c r="E35">
        <v>-394</v>
      </c>
      <c r="F35">
        <v>-1351</v>
      </c>
      <c r="G35">
        <v>-1602</v>
      </c>
      <c r="H35">
        <v>-741</v>
      </c>
      <c r="I35">
        <v>-462</v>
      </c>
      <c r="J35">
        <v>-536</v>
      </c>
      <c r="K35">
        <v>-396</v>
      </c>
      <c r="L35">
        <v>-549</v>
      </c>
      <c r="M35">
        <v>-608</v>
      </c>
      <c r="N35">
        <v>-4088</v>
      </c>
      <c r="O35">
        <v>-6639</v>
      </c>
    </row>
    <row r="36" spans="1:15" x14ac:dyDescent="0.35">
      <c r="B36">
        <v>70331</v>
      </c>
      <c r="C36" s="13" t="s">
        <v>197</v>
      </c>
      <c r="D36" s="9">
        <v>0</v>
      </c>
      <c r="E36" s="9">
        <v>-1861</v>
      </c>
      <c r="F36" s="9">
        <v>-2703</v>
      </c>
      <c r="G36" s="9">
        <v>-2110</v>
      </c>
      <c r="H36" s="9">
        <v>-3147</v>
      </c>
      <c r="I36" s="9">
        <v>-4030</v>
      </c>
      <c r="J36" s="9">
        <v>-4227</v>
      </c>
      <c r="K36" s="9">
        <v>-4137</v>
      </c>
      <c r="L36" s="9">
        <v>-4135</v>
      </c>
      <c r="M36" s="9">
        <v>-4209</v>
      </c>
      <c r="N36" s="55">
        <v>-9821</v>
      </c>
      <c r="O36" s="55">
        <v>-30559</v>
      </c>
    </row>
    <row r="37" spans="1:15" x14ac:dyDescent="0.35">
      <c r="B37">
        <v>70341</v>
      </c>
      <c r="C37" s="13" t="s">
        <v>198</v>
      </c>
      <c r="D37">
        <v>0</v>
      </c>
      <c r="E37">
        <v>360</v>
      </c>
      <c r="F37">
        <v>887</v>
      </c>
      <c r="G37">
        <v>1142</v>
      </c>
      <c r="H37">
        <v>1277</v>
      </c>
      <c r="I37">
        <v>1373</v>
      </c>
      <c r="J37">
        <v>1473</v>
      </c>
      <c r="K37">
        <v>1575</v>
      </c>
      <c r="L37">
        <v>1680</v>
      </c>
      <c r="M37">
        <v>1789</v>
      </c>
      <c r="N37">
        <v>3666</v>
      </c>
      <c r="O37">
        <v>11557</v>
      </c>
    </row>
    <row r="38" spans="1:15" x14ac:dyDescent="0.35">
      <c r="B38">
        <v>70342</v>
      </c>
      <c r="C38" s="13" t="s">
        <v>199</v>
      </c>
      <c r="D38" s="9">
        <v>0</v>
      </c>
      <c r="E38" s="9">
        <v>660</v>
      </c>
      <c r="F38" s="9">
        <v>1438</v>
      </c>
      <c r="G38" s="9">
        <v>1357</v>
      </c>
      <c r="H38" s="9">
        <v>1144</v>
      </c>
      <c r="I38" s="9">
        <v>1077</v>
      </c>
      <c r="J38" s="9">
        <v>1065</v>
      </c>
      <c r="K38" s="9">
        <v>1100</v>
      </c>
      <c r="L38" s="9">
        <v>1154</v>
      </c>
      <c r="M38" s="9">
        <v>1195</v>
      </c>
      <c r="N38" s="55">
        <v>4599</v>
      </c>
      <c r="O38" s="55">
        <v>10191</v>
      </c>
    </row>
    <row r="40" spans="1:15" x14ac:dyDescent="0.35">
      <c r="C40" t="s">
        <v>200</v>
      </c>
    </row>
  </sheetData>
  <mergeCells count="1"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16AD-D4E7-4668-8AD6-11DB5B68BFFD}">
  <dimension ref="A1:P49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47" sqref="E47"/>
    </sheetView>
  </sheetViews>
  <sheetFormatPr defaultRowHeight="14.5" x14ac:dyDescent="0.35"/>
  <cols>
    <col min="2" max="2" width="24.1796875" bestFit="1" customWidth="1"/>
    <col min="3" max="3" width="22.7265625" customWidth="1"/>
    <col min="4" max="4" width="52.453125" customWidth="1"/>
    <col min="5" max="5" width="11.453125" bestFit="1" customWidth="1"/>
    <col min="6" max="8" width="12" bestFit="1" customWidth="1"/>
    <col min="9" max="11" width="13" bestFit="1" customWidth="1"/>
    <col min="12" max="14" width="13" customWidth="1"/>
    <col min="15" max="15" width="15" bestFit="1" customWidth="1"/>
  </cols>
  <sheetData>
    <row r="1" spans="1:16" x14ac:dyDescent="0.35">
      <c r="E1" s="112" t="s">
        <v>49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6" x14ac:dyDescent="0.3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</row>
    <row r="3" spans="1:16" x14ac:dyDescent="0.35">
      <c r="A3" t="s">
        <v>31</v>
      </c>
      <c r="B3" t="s">
        <v>65</v>
      </c>
      <c r="C3" t="s">
        <v>66</v>
      </c>
      <c r="D3" t="s">
        <v>67</v>
      </c>
      <c r="E3" s="14">
        <v>0</v>
      </c>
      <c r="F3" s="15">
        <v>-7961</v>
      </c>
      <c r="G3" s="15">
        <v>-16116</v>
      </c>
      <c r="H3" s="15">
        <v>-21645</v>
      </c>
      <c r="I3" s="15">
        <v>-21744</v>
      </c>
      <c r="J3" s="15">
        <v>-21748</v>
      </c>
      <c r="K3" s="15">
        <v>-21565</v>
      </c>
      <c r="L3" s="15">
        <v>-24743</v>
      </c>
      <c r="M3" s="15">
        <v>-25150</v>
      </c>
      <c r="N3" s="15">
        <v>-25268</v>
      </c>
      <c r="O3" s="21">
        <v>-185940</v>
      </c>
      <c r="P3" s="3" t="s">
        <v>68</v>
      </c>
    </row>
    <row r="4" spans="1:16" x14ac:dyDescent="0.35">
      <c r="A4" t="s">
        <v>31</v>
      </c>
      <c r="C4" t="s">
        <v>69</v>
      </c>
      <c r="D4" t="s">
        <v>70</v>
      </c>
      <c r="E4" s="14">
        <v>0</v>
      </c>
      <c r="F4" s="14">
        <v>0</v>
      </c>
      <c r="G4" s="15">
        <v>7936</v>
      </c>
      <c r="H4" s="15">
        <v>5921</v>
      </c>
      <c r="I4" s="15">
        <v>5598</v>
      </c>
      <c r="J4" s="15">
        <v>5698</v>
      </c>
      <c r="K4" s="15">
        <v>5744</v>
      </c>
      <c r="L4" s="15">
        <v>6150</v>
      </c>
      <c r="M4" s="15">
        <v>6397</v>
      </c>
      <c r="N4" s="15">
        <v>7020</v>
      </c>
      <c r="O4" s="18">
        <v>50464</v>
      </c>
    </row>
    <row r="5" spans="1:16" x14ac:dyDescent="0.35">
      <c r="A5" t="s">
        <v>31</v>
      </c>
      <c r="C5" t="s">
        <v>69</v>
      </c>
      <c r="D5" t="s">
        <v>73</v>
      </c>
      <c r="E5" s="14">
        <v>0</v>
      </c>
      <c r="F5" s="14">
        <v>0</v>
      </c>
      <c r="G5" s="15">
        <v>-2015</v>
      </c>
      <c r="H5" s="14">
        <v>961</v>
      </c>
      <c r="I5" s="15">
        <v>1262</v>
      </c>
      <c r="J5" s="14">
        <v>783</v>
      </c>
      <c r="K5" s="14">
        <v>835</v>
      </c>
      <c r="L5" s="14">
        <v>714</v>
      </c>
      <c r="M5" s="14">
        <v>723</v>
      </c>
      <c r="N5" s="14">
        <v>351</v>
      </c>
      <c r="O5" s="18">
        <v>3614</v>
      </c>
    </row>
    <row r="6" spans="1:16" x14ac:dyDescent="0.35">
      <c r="A6" t="s">
        <v>31</v>
      </c>
      <c r="C6" t="s">
        <v>69</v>
      </c>
      <c r="D6" t="s">
        <v>74</v>
      </c>
      <c r="E6" s="14">
        <v>5</v>
      </c>
      <c r="F6" s="14">
        <v>71</v>
      </c>
      <c r="G6" s="14">
        <v>189</v>
      </c>
      <c r="H6" s="14">
        <v>215</v>
      </c>
      <c r="I6" s="14">
        <v>248</v>
      </c>
      <c r="J6" s="14">
        <v>232</v>
      </c>
      <c r="K6" s="14">
        <v>237</v>
      </c>
      <c r="L6" s="14">
        <v>253</v>
      </c>
      <c r="M6" s="14">
        <v>276</v>
      </c>
      <c r="N6" s="14">
        <v>243</v>
      </c>
      <c r="O6" s="18">
        <v>1969</v>
      </c>
    </row>
    <row r="7" spans="1:16" ht="15.5" x14ac:dyDescent="0.35">
      <c r="A7" t="s">
        <v>31</v>
      </c>
      <c r="D7" s="17" t="s">
        <v>201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6" x14ac:dyDescent="0.35">
      <c r="A8" t="s">
        <v>31</v>
      </c>
      <c r="C8" t="s">
        <v>69</v>
      </c>
      <c r="D8" t="s">
        <v>76</v>
      </c>
      <c r="E8" s="14">
        <v>286</v>
      </c>
      <c r="F8" s="14">
        <v>288</v>
      </c>
      <c r="G8" s="14">
        <v>286</v>
      </c>
      <c r="H8" s="14">
        <v>287</v>
      </c>
      <c r="I8" s="14">
        <v>287</v>
      </c>
      <c r="J8" s="14">
        <v>288</v>
      </c>
      <c r="K8" s="14">
        <v>286</v>
      </c>
      <c r="L8" s="14">
        <v>286</v>
      </c>
      <c r="M8" s="14">
        <v>286</v>
      </c>
      <c r="N8" s="14">
        <v>288</v>
      </c>
      <c r="O8" s="18">
        <v>2868</v>
      </c>
    </row>
    <row r="9" spans="1:16" x14ac:dyDescent="0.35"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6" x14ac:dyDescent="0.35">
      <c r="A10" t="s">
        <v>41</v>
      </c>
      <c r="B10" t="s">
        <v>77</v>
      </c>
      <c r="C10" t="s">
        <v>78</v>
      </c>
      <c r="D10" t="s">
        <v>79</v>
      </c>
      <c r="E10" s="15">
        <v>2020</v>
      </c>
      <c r="F10" s="15">
        <v>41864</v>
      </c>
      <c r="G10" s="15">
        <v>44677</v>
      </c>
      <c r="H10" s="15">
        <v>24923</v>
      </c>
      <c r="I10" s="15">
        <v>17175</v>
      </c>
      <c r="J10" s="15">
        <v>9426</v>
      </c>
      <c r="K10" s="15">
        <v>4720</v>
      </c>
      <c r="L10" s="15">
        <v>2767</v>
      </c>
      <c r="M10" s="15">
        <v>1347</v>
      </c>
      <c r="N10" s="14">
        <v>623</v>
      </c>
      <c r="O10" s="23">
        <v>149542</v>
      </c>
    </row>
    <row r="12" spans="1:16" x14ac:dyDescent="0.35">
      <c r="A12" t="s">
        <v>80</v>
      </c>
      <c r="D12" t="s">
        <v>81</v>
      </c>
      <c r="E12" s="14">
        <v>0</v>
      </c>
      <c r="F12" s="14">
        <v>-123</v>
      </c>
      <c r="G12" s="14">
        <v>-193</v>
      </c>
      <c r="H12" s="14">
        <v>-189</v>
      </c>
      <c r="I12" s="14">
        <v>-193</v>
      </c>
      <c r="J12" s="14">
        <v>-210</v>
      </c>
      <c r="K12" s="14">
        <v>-231</v>
      </c>
      <c r="L12" s="14">
        <v>-262</v>
      </c>
      <c r="M12" s="14">
        <v>-296</v>
      </c>
      <c r="N12" s="14">
        <v>-323</v>
      </c>
      <c r="O12" s="22">
        <v>-2020</v>
      </c>
    </row>
    <row r="13" spans="1:16" x14ac:dyDescent="0.35">
      <c r="A13" t="s">
        <v>80</v>
      </c>
      <c r="B13" t="s">
        <v>82</v>
      </c>
      <c r="D13" t="s">
        <v>83</v>
      </c>
      <c r="E13" s="19">
        <v>-16</v>
      </c>
      <c r="F13" s="19">
        <v>-21</v>
      </c>
      <c r="G13" s="19">
        <v>-27</v>
      </c>
      <c r="H13" s="19">
        <v>-34</v>
      </c>
      <c r="I13" s="19">
        <v>-27</v>
      </c>
      <c r="J13" s="19">
        <v>-10</v>
      </c>
      <c r="K13" s="19">
        <v>-3</v>
      </c>
      <c r="L13" s="19">
        <v>0</v>
      </c>
      <c r="M13" s="19">
        <v>0</v>
      </c>
      <c r="N13" s="19">
        <v>0</v>
      </c>
      <c r="O13" s="22">
        <v>-138</v>
      </c>
    </row>
    <row r="14" spans="1:16" x14ac:dyDescent="0.35">
      <c r="A14" t="s">
        <v>80</v>
      </c>
      <c r="D14" t="s">
        <v>84</v>
      </c>
      <c r="E14" s="19">
        <v>-1</v>
      </c>
      <c r="F14" s="19">
        <v>-44</v>
      </c>
      <c r="G14" s="19">
        <v>-50</v>
      </c>
      <c r="H14" s="19">
        <v>-50</v>
      </c>
      <c r="I14" s="19">
        <v>-50</v>
      </c>
      <c r="J14" s="19">
        <v>-50</v>
      </c>
      <c r="K14" s="19">
        <v>-50</v>
      </c>
      <c r="L14" s="19">
        <v>-51</v>
      </c>
      <c r="M14" s="19">
        <v>-51</v>
      </c>
      <c r="N14" s="19">
        <v>-51</v>
      </c>
      <c r="O14" s="22">
        <v>-448</v>
      </c>
    </row>
    <row r="15" spans="1:16" x14ac:dyDescent="0.35">
      <c r="A15" t="s">
        <v>80</v>
      </c>
      <c r="D15" t="s">
        <v>85</v>
      </c>
      <c r="E15" s="14">
        <v>2</v>
      </c>
      <c r="F15" s="14">
        <v>56</v>
      </c>
      <c r="G15" s="14">
        <v>190</v>
      </c>
      <c r="H15" s="14">
        <v>248</v>
      </c>
      <c r="I15" s="14">
        <v>198</v>
      </c>
      <c r="J15" s="14">
        <v>148</v>
      </c>
      <c r="K15" s="14">
        <v>96</v>
      </c>
      <c r="L15" s="14">
        <v>0</v>
      </c>
      <c r="M15" s="14">
        <v>0</v>
      </c>
      <c r="N15" s="14">
        <v>0</v>
      </c>
      <c r="O15" s="25">
        <v>938</v>
      </c>
    </row>
    <row r="16" spans="1:16" x14ac:dyDescent="0.35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6" x14ac:dyDescent="0.35">
      <c r="A17" t="s">
        <v>86</v>
      </c>
      <c r="C17" t="s">
        <v>87</v>
      </c>
      <c r="D17" t="s">
        <v>88</v>
      </c>
      <c r="E17" s="14"/>
      <c r="F17" s="14">
        <v>390</v>
      </c>
      <c r="G17" s="15">
        <v>1210</v>
      </c>
      <c r="H17" s="15">
        <v>2390</v>
      </c>
      <c r="I17" s="15">
        <v>3070</v>
      </c>
      <c r="J17" s="15">
        <v>3590</v>
      </c>
      <c r="K17" s="15">
        <v>3480</v>
      </c>
      <c r="L17" s="15">
        <v>3470</v>
      </c>
      <c r="M17" s="15">
        <v>3520</v>
      </c>
      <c r="N17" s="15">
        <v>2010</v>
      </c>
      <c r="O17" s="23">
        <v>23130</v>
      </c>
    </row>
    <row r="18" spans="1:16" x14ac:dyDescent="0.35">
      <c r="A18" t="s">
        <v>86</v>
      </c>
      <c r="C18" t="s">
        <v>89</v>
      </c>
      <c r="D18" t="s">
        <v>90</v>
      </c>
      <c r="E18" s="14">
        <v>0</v>
      </c>
      <c r="F18" s="14">
        <v>-200</v>
      </c>
      <c r="G18" s="14">
        <v>-200</v>
      </c>
      <c r="H18" s="15">
        <v>-1500</v>
      </c>
      <c r="I18" s="15">
        <v>-5800</v>
      </c>
      <c r="J18" s="15">
        <v>-12900</v>
      </c>
      <c r="K18" s="15">
        <v>-19800</v>
      </c>
      <c r="L18" s="15">
        <v>-22200</v>
      </c>
      <c r="M18" s="15">
        <v>-16000</v>
      </c>
      <c r="N18" s="15">
        <v>-6400</v>
      </c>
      <c r="O18" s="22">
        <v>-85000</v>
      </c>
    </row>
    <row r="19" spans="1:16" x14ac:dyDescent="0.35">
      <c r="A19" t="s">
        <v>86</v>
      </c>
      <c r="C19" t="s">
        <v>91</v>
      </c>
      <c r="D19" t="s">
        <v>92</v>
      </c>
      <c r="E19" s="14">
        <v>0</v>
      </c>
      <c r="F19" s="14">
        <v>750</v>
      </c>
      <c r="G19" s="15">
        <v>1620</v>
      </c>
      <c r="H19" s="15">
        <v>2670</v>
      </c>
      <c r="I19" s="15">
        <v>3190</v>
      </c>
      <c r="J19" s="15">
        <v>1980</v>
      </c>
      <c r="K19" s="15">
        <v>1220</v>
      </c>
      <c r="L19" s="14">
        <v>600</v>
      </c>
      <c r="M19" s="14">
        <v>0</v>
      </c>
      <c r="N19" s="14">
        <v>0</v>
      </c>
      <c r="O19" s="23">
        <v>12030</v>
      </c>
    </row>
    <row r="20" spans="1:16" x14ac:dyDescent="0.35">
      <c r="A20" t="s">
        <v>86</v>
      </c>
      <c r="C20" t="s">
        <v>93</v>
      </c>
      <c r="D20" t="s">
        <v>94</v>
      </c>
      <c r="E20" s="14">
        <v>0</v>
      </c>
      <c r="F20" s="15">
        <v>2000</v>
      </c>
      <c r="G20" s="15">
        <v>2480</v>
      </c>
      <c r="H20" s="15">
        <v>2270</v>
      </c>
      <c r="I20" s="15">
        <v>2080</v>
      </c>
      <c r="J20" s="14">
        <v>970</v>
      </c>
      <c r="K20" s="14">
        <v>150</v>
      </c>
      <c r="L20" s="14">
        <v>10</v>
      </c>
      <c r="M20" s="14">
        <v>0</v>
      </c>
      <c r="N20" s="14">
        <v>0</v>
      </c>
      <c r="O20" s="23">
        <v>9960</v>
      </c>
    </row>
    <row r="21" spans="1:16" x14ac:dyDescent="0.35">
      <c r="A21" t="s">
        <v>86</v>
      </c>
      <c r="C21" t="s">
        <v>95</v>
      </c>
      <c r="D21" s="17" t="s">
        <v>96</v>
      </c>
      <c r="E21" s="17">
        <v>0</v>
      </c>
      <c r="F21" s="14">
        <v>0</v>
      </c>
      <c r="G21" s="14">
        <v>-54</v>
      </c>
      <c r="H21" s="14">
        <v>-103</v>
      </c>
      <c r="I21" s="14">
        <v>-153</v>
      </c>
      <c r="J21" s="14">
        <v>-198</v>
      </c>
      <c r="K21" s="14">
        <v>-251</v>
      </c>
      <c r="L21" s="14">
        <v>-326</v>
      </c>
      <c r="M21" s="14">
        <v>-113</v>
      </c>
      <c r="N21" s="14">
        <v>0</v>
      </c>
      <c r="O21" s="22">
        <v>-1198</v>
      </c>
    </row>
    <row r="22" spans="1:16" x14ac:dyDescent="0.35">
      <c r="A22" t="s">
        <v>86</v>
      </c>
      <c r="D22" t="s">
        <v>98</v>
      </c>
      <c r="E22" s="19">
        <v>-65</v>
      </c>
      <c r="F22" s="19">
        <v>-94</v>
      </c>
      <c r="G22" s="19">
        <v>-123</v>
      </c>
      <c r="H22" s="19">
        <v>-234</v>
      </c>
      <c r="I22" s="19">
        <v>-172</v>
      </c>
      <c r="J22" s="19">
        <v>-81</v>
      </c>
      <c r="K22" s="19">
        <v>-66</v>
      </c>
      <c r="L22" s="19">
        <v>-66</v>
      </c>
      <c r="M22" s="19">
        <v>-37</v>
      </c>
      <c r="N22" s="19">
        <v>22</v>
      </c>
      <c r="O22" s="24">
        <v>-916</v>
      </c>
    </row>
    <row r="23" spans="1:16" x14ac:dyDescent="0.35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0"/>
    </row>
    <row r="24" spans="1:16" x14ac:dyDescent="0.35">
      <c r="A24" t="s">
        <v>99</v>
      </c>
      <c r="B24" t="s">
        <v>202</v>
      </c>
      <c r="C24" t="s">
        <v>101</v>
      </c>
      <c r="D24" t="s">
        <v>102</v>
      </c>
      <c r="E24" s="19">
        <v>0</v>
      </c>
      <c r="F24" s="19">
        <v>-287</v>
      </c>
      <c r="G24" s="19">
        <v>-728</v>
      </c>
      <c r="H24" s="19">
        <v>-1439</v>
      </c>
      <c r="I24" s="19">
        <v>-1320</v>
      </c>
      <c r="J24" s="19">
        <v>-1927</v>
      </c>
      <c r="K24" s="19">
        <v>-2183</v>
      </c>
      <c r="L24" s="19">
        <v>-2593</v>
      </c>
      <c r="M24" s="19">
        <v>-2821</v>
      </c>
      <c r="N24" s="19">
        <v>-3221</v>
      </c>
      <c r="O24" s="21">
        <v>-16519</v>
      </c>
    </row>
    <row r="25" spans="1:16" x14ac:dyDescent="0.35">
      <c r="A25" t="s">
        <v>99</v>
      </c>
      <c r="B25" t="s">
        <v>77</v>
      </c>
      <c r="C25" t="s">
        <v>103</v>
      </c>
      <c r="D25" t="s">
        <v>104</v>
      </c>
      <c r="E25" s="28">
        <v>7</v>
      </c>
      <c r="F25" s="28">
        <v>439</v>
      </c>
      <c r="G25" s="28">
        <v>493</v>
      </c>
      <c r="H25" s="28">
        <v>242</v>
      </c>
      <c r="I25" s="28">
        <v>246</v>
      </c>
      <c r="J25" s="28">
        <v>137</v>
      </c>
      <c r="K25" s="28">
        <v>126</v>
      </c>
      <c r="L25" s="28">
        <v>105</v>
      </c>
      <c r="M25" s="28">
        <v>55</v>
      </c>
      <c r="N25" s="28">
        <v>0</v>
      </c>
      <c r="O25" s="38">
        <v>1850</v>
      </c>
    </row>
    <row r="26" spans="1:16" x14ac:dyDescent="0.35">
      <c r="A26" t="s">
        <v>99</v>
      </c>
      <c r="B26" t="s">
        <v>77</v>
      </c>
      <c r="C26" t="s">
        <v>105</v>
      </c>
      <c r="D26" t="s">
        <v>106</v>
      </c>
      <c r="E26" s="29">
        <v>-163</v>
      </c>
      <c r="F26" s="29">
        <v>-436</v>
      </c>
      <c r="G26" s="29">
        <v>-1466</v>
      </c>
      <c r="H26" s="29">
        <v>-2140</v>
      </c>
      <c r="I26" s="29">
        <v>-2039</v>
      </c>
      <c r="J26" s="29">
        <v>-2021</v>
      </c>
      <c r="K26" s="29">
        <v>-1775</v>
      </c>
      <c r="L26" s="29">
        <v>-1225</v>
      </c>
      <c r="M26" s="29">
        <v>-1205</v>
      </c>
      <c r="N26" s="29">
        <v>-1223</v>
      </c>
      <c r="O26" s="20">
        <v>-13693</v>
      </c>
      <c r="P26" s="15"/>
    </row>
    <row r="27" spans="1:16" x14ac:dyDescent="0.35"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</row>
    <row r="28" spans="1:16" x14ac:dyDescent="0.35">
      <c r="A28" t="s">
        <v>107</v>
      </c>
      <c r="B28" t="s">
        <v>77</v>
      </c>
      <c r="C28" t="s">
        <v>108</v>
      </c>
      <c r="D28" t="s">
        <v>109</v>
      </c>
      <c r="E28" s="10">
        <v>-857</v>
      </c>
      <c r="F28" s="10">
        <v>-936</v>
      </c>
      <c r="G28" s="10">
        <v>-1237</v>
      </c>
      <c r="H28" s="10">
        <v>-887</v>
      </c>
      <c r="I28" s="10">
        <v>-570</v>
      </c>
      <c r="J28" s="10">
        <v>-360</v>
      </c>
      <c r="K28" s="10">
        <v>-112</v>
      </c>
      <c r="L28" s="10">
        <v>0</v>
      </c>
      <c r="M28" s="10">
        <v>0</v>
      </c>
      <c r="N28" s="10">
        <v>0</v>
      </c>
      <c r="O28" s="20">
        <v>-4959</v>
      </c>
    </row>
    <row r="29" spans="1:16" x14ac:dyDescent="0.35"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6"/>
    </row>
    <row r="30" spans="1:16" x14ac:dyDescent="0.35">
      <c r="A30" t="s">
        <v>110</v>
      </c>
      <c r="B30" t="s">
        <v>111</v>
      </c>
      <c r="C30" t="s">
        <v>112</v>
      </c>
      <c r="D30" t="s">
        <v>203</v>
      </c>
      <c r="E30" s="10">
        <v>0</v>
      </c>
      <c r="F30" s="10">
        <v>2318</v>
      </c>
      <c r="G30" s="10">
        <v>18914</v>
      </c>
      <c r="H30" s="10">
        <v>19294</v>
      </c>
      <c r="I30" s="10">
        <v>20247</v>
      </c>
      <c r="J30" s="10">
        <v>20213</v>
      </c>
      <c r="K30" s="10">
        <v>21073</v>
      </c>
      <c r="L30" s="10">
        <v>21099</v>
      </c>
      <c r="M30" s="10">
        <v>22871</v>
      </c>
      <c r="N30" s="10">
        <v>22602</v>
      </c>
      <c r="O30" s="20">
        <v>168633</v>
      </c>
    </row>
    <row r="31" spans="1:16" x14ac:dyDescent="0.35">
      <c r="A31" t="s">
        <v>110</v>
      </c>
      <c r="B31" t="s">
        <v>111</v>
      </c>
      <c r="C31" t="s">
        <v>116</v>
      </c>
      <c r="D31" t="s">
        <v>117</v>
      </c>
      <c r="E31" s="10">
        <v>644</v>
      </c>
      <c r="F31" s="10">
        <v>5896</v>
      </c>
      <c r="G31" s="10">
        <v>3314</v>
      </c>
      <c r="H31" s="10">
        <v>3300</v>
      </c>
      <c r="I31" s="10">
        <v>91</v>
      </c>
      <c r="J31" s="10">
        <v>91</v>
      </c>
      <c r="K31" s="10">
        <v>91</v>
      </c>
      <c r="L31" s="10">
        <v>91</v>
      </c>
      <c r="M31" s="10">
        <v>91</v>
      </c>
      <c r="N31" s="10">
        <v>86</v>
      </c>
      <c r="O31" s="20">
        <v>13695</v>
      </c>
    </row>
    <row r="32" spans="1:16" x14ac:dyDescent="0.35">
      <c r="A32" t="s">
        <v>110</v>
      </c>
      <c r="B32" t="s">
        <v>111</v>
      </c>
      <c r="C32" t="s">
        <v>118</v>
      </c>
      <c r="D32" t="s">
        <v>119</v>
      </c>
      <c r="E32" s="10">
        <v>185</v>
      </c>
      <c r="F32" s="10">
        <v>410</v>
      </c>
      <c r="G32" s="10">
        <v>679</v>
      </c>
      <c r="H32" s="10">
        <v>697</v>
      </c>
      <c r="I32" s="10">
        <v>568</v>
      </c>
      <c r="J32" s="10">
        <v>584</v>
      </c>
      <c r="K32" s="10">
        <v>570</v>
      </c>
      <c r="L32" s="10">
        <v>567</v>
      </c>
      <c r="M32" s="10">
        <v>573</v>
      </c>
      <c r="N32" s="10">
        <v>570</v>
      </c>
      <c r="O32" s="21">
        <v>5404</v>
      </c>
    </row>
    <row r="33" spans="1:16" x14ac:dyDescent="0.35">
      <c r="A33" t="s">
        <v>110</v>
      </c>
      <c r="B33" t="s">
        <v>111</v>
      </c>
      <c r="C33" t="s">
        <v>120</v>
      </c>
      <c r="D33" t="s">
        <v>121</v>
      </c>
      <c r="E33" s="10">
        <v>-61</v>
      </c>
      <c r="F33" s="10">
        <v>18</v>
      </c>
      <c r="G33" s="10">
        <v>49</v>
      </c>
      <c r="H33" s="10">
        <v>-52</v>
      </c>
      <c r="I33" s="10">
        <v>-57</v>
      </c>
      <c r="J33" s="10">
        <v>-61</v>
      </c>
      <c r="K33" s="10">
        <v>-66</v>
      </c>
      <c r="L33" s="10">
        <v>178</v>
      </c>
      <c r="M33" s="10">
        <v>178</v>
      </c>
      <c r="N33" s="10">
        <v>178</v>
      </c>
      <c r="O33" s="21">
        <v>304</v>
      </c>
    </row>
    <row r="34" spans="1:16" x14ac:dyDescent="0.35">
      <c r="A34" t="s">
        <v>110</v>
      </c>
      <c r="B34" t="s">
        <v>111</v>
      </c>
      <c r="C34" t="s">
        <v>123</v>
      </c>
      <c r="D34" t="s">
        <v>124</v>
      </c>
      <c r="E34" s="10">
        <v>-27</v>
      </c>
      <c r="F34" s="10">
        <v>-1018</v>
      </c>
      <c r="G34" s="10">
        <v>-2896</v>
      </c>
      <c r="H34" s="10">
        <v>-7013</v>
      </c>
      <c r="I34" s="10">
        <v>-11517</v>
      </c>
      <c r="J34" s="10">
        <v>-13856</v>
      </c>
      <c r="K34" s="10">
        <v>-15744</v>
      </c>
      <c r="L34" s="10">
        <v>-17966</v>
      </c>
      <c r="M34" s="10">
        <v>-770</v>
      </c>
      <c r="N34" s="10">
        <v>-1683</v>
      </c>
      <c r="O34" s="21">
        <v>-72489</v>
      </c>
    </row>
    <row r="35" spans="1:16" x14ac:dyDescent="0.35">
      <c r="A35" t="s">
        <v>110</v>
      </c>
      <c r="B35" t="s">
        <v>125</v>
      </c>
      <c r="C35" t="s">
        <v>125</v>
      </c>
      <c r="D35" t="s">
        <v>204</v>
      </c>
      <c r="E35" s="10">
        <v>-835</v>
      </c>
      <c r="F35" s="10">
        <v>-21813</v>
      </c>
      <c r="G35" s="10">
        <v>-54248</v>
      </c>
      <c r="H35" s="10">
        <v>-73117</v>
      </c>
      <c r="I35" s="10">
        <v>-106367</v>
      </c>
      <c r="J35" s="10">
        <v>-127074</v>
      </c>
      <c r="K35" s="10">
        <v>-146220</v>
      </c>
      <c r="L35" s="10">
        <v>-156518</v>
      </c>
      <c r="M35" s="10">
        <v>-170171</v>
      </c>
      <c r="N35" s="10">
        <v>-186243</v>
      </c>
      <c r="O35" s="21">
        <v>-1042606</v>
      </c>
    </row>
    <row r="36" spans="1:16" s="31" customFormat="1" x14ac:dyDescent="0.35">
      <c r="A36" s="31" t="s">
        <v>110</v>
      </c>
      <c r="B36" s="31" t="s">
        <v>130</v>
      </c>
      <c r="C36" s="31" t="s">
        <v>130</v>
      </c>
      <c r="D36" s="31" t="s">
        <v>131</v>
      </c>
      <c r="E36" s="19">
        <v>0</v>
      </c>
      <c r="F36" s="19">
        <v>1221</v>
      </c>
      <c r="G36" s="19">
        <v>584</v>
      </c>
      <c r="H36" s="19">
        <v>474</v>
      </c>
      <c r="I36" s="19">
        <v>285</v>
      </c>
      <c r="J36" s="19">
        <v>268</v>
      </c>
      <c r="K36" s="19">
        <v>194</v>
      </c>
      <c r="L36" s="19">
        <v>119</v>
      </c>
      <c r="M36" s="19">
        <v>-117</v>
      </c>
      <c r="N36" s="19">
        <v>-640</v>
      </c>
      <c r="O36" s="22">
        <v>2388</v>
      </c>
    </row>
    <row r="37" spans="1:16" x14ac:dyDescent="0.35">
      <c r="A37" t="s">
        <v>110</v>
      </c>
      <c r="B37" t="s">
        <v>100</v>
      </c>
      <c r="C37" t="s">
        <v>132</v>
      </c>
      <c r="D37" t="s">
        <v>205</v>
      </c>
      <c r="E37" s="10">
        <v>0</v>
      </c>
      <c r="F37" s="10">
        <v>-4933</v>
      </c>
      <c r="G37" s="10">
        <v>-15465</v>
      </c>
      <c r="H37" s="10">
        <v>-23095</v>
      </c>
      <c r="I37" s="10">
        <v>-26018</v>
      </c>
      <c r="J37" s="10">
        <v>-26543</v>
      </c>
      <c r="K37" s="10">
        <v>-27511</v>
      </c>
      <c r="L37" s="10">
        <v>-28606</v>
      </c>
      <c r="M37" s="10">
        <v>-29757</v>
      </c>
      <c r="N37" s="10">
        <v>-31042</v>
      </c>
      <c r="O37" s="40">
        <v>-212968</v>
      </c>
    </row>
    <row r="38" spans="1:16" s="31" customFormat="1" x14ac:dyDescent="0.35">
      <c r="A38" t="s">
        <v>110</v>
      </c>
      <c r="B38" s="31" t="s">
        <v>77</v>
      </c>
      <c r="C38" s="31" t="s">
        <v>134</v>
      </c>
      <c r="D38" s="39" t="s">
        <v>135</v>
      </c>
      <c r="E38" s="19">
        <v>0</v>
      </c>
      <c r="F38" s="19">
        <v>0</v>
      </c>
      <c r="G38" s="19">
        <v>0</v>
      </c>
      <c r="H38" s="19">
        <v>472</v>
      </c>
      <c r="I38" s="19">
        <v>4715</v>
      </c>
      <c r="J38" s="19">
        <v>6695</v>
      </c>
      <c r="K38" s="19">
        <v>4715</v>
      </c>
      <c r="L38" s="19">
        <v>3725</v>
      </c>
      <c r="M38" s="19">
        <v>2122</v>
      </c>
      <c r="N38" s="19">
        <v>707</v>
      </c>
      <c r="O38" s="22">
        <v>23151</v>
      </c>
    </row>
    <row r="39" spans="1:16" x14ac:dyDescent="0.35"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</row>
    <row r="40" spans="1:16" x14ac:dyDescent="0.35">
      <c r="A40" t="s">
        <v>136</v>
      </c>
      <c r="B40" t="s">
        <v>137</v>
      </c>
      <c r="C40" t="s">
        <v>138</v>
      </c>
      <c r="D40" t="s">
        <v>139</v>
      </c>
      <c r="E40" s="15">
        <v>-153490</v>
      </c>
      <c r="F40" s="15">
        <v>-11580</v>
      </c>
      <c r="G40" s="15">
        <v>-8569</v>
      </c>
      <c r="H40" s="15">
        <v>-18036</v>
      </c>
      <c r="I40" s="15">
        <v>-19887</v>
      </c>
      <c r="J40" s="15">
        <v>-20912</v>
      </c>
      <c r="K40" s="15">
        <v>-21383</v>
      </c>
      <c r="L40" s="15">
        <v>-21773</v>
      </c>
      <c r="M40" s="15">
        <v>-22133</v>
      </c>
      <c r="N40" s="15">
        <v>-22374</v>
      </c>
      <c r="O40" s="21">
        <v>-320137</v>
      </c>
    </row>
    <row r="42" spans="1:16" s="31" customFormat="1" x14ac:dyDescent="0.35">
      <c r="A42" s="31" t="s">
        <v>142</v>
      </c>
      <c r="B42" s="31" t="s">
        <v>77</v>
      </c>
      <c r="C42" s="31" t="s">
        <v>143</v>
      </c>
      <c r="D42" s="39" t="s">
        <v>144</v>
      </c>
      <c r="E42" s="19">
        <v>0</v>
      </c>
      <c r="F42" s="19">
        <v>9478</v>
      </c>
      <c r="G42" s="19">
        <v>18289</v>
      </c>
      <c r="H42" s="19">
        <v>25419</v>
      </c>
      <c r="I42" s="19">
        <v>25588</v>
      </c>
      <c r="J42" s="19">
        <v>20524</v>
      </c>
      <c r="K42" s="19">
        <v>15110</v>
      </c>
      <c r="L42" s="19">
        <v>9681</v>
      </c>
      <c r="M42" s="19">
        <v>4520</v>
      </c>
      <c r="N42" s="19">
        <v>2126</v>
      </c>
      <c r="O42" s="22">
        <v>130735</v>
      </c>
    </row>
    <row r="43" spans="1:16" s="31" customFormat="1" x14ac:dyDescent="0.35">
      <c r="A43" s="31" t="s">
        <v>142</v>
      </c>
      <c r="B43" s="31" t="s">
        <v>77</v>
      </c>
      <c r="C43" s="31" t="s">
        <v>145</v>
      </c>
      <c r="D43" s="39" t="s">
        <v>146</v>
      </c>
      <c r="E43" s="19">
        <v>5</v>
      </c>
      <c r="F43" s="19">
        <v>33</v>
      </c>
      <c r="G43" s="19">
        <v>-24</v>
      </c>
      <c r="H43" s="19">
        <v>-102</v>
      </c>
      <c r="I43" s="19">
        <v>-174</v>
      </c>
      <c r="J43" s="19">
        <v>-262</v>
      </c>
      <c r="K43" s="19">
        <v>-323</v>
      </c>
      <c r="L43" s="19">
        <v>-330</v>
      </c>
      <c r="M43" s="19">
        <v>-326</v>
      </c>
      <c r="N43" s="19">
        <v>-321</v>
      </c>
      <c r="O43" s="22">
        <v>-1824</v>
      </c>
    </row>
    <row r="44" spans="1:16" s="31" customFormat="1" x14ac:dyDescent="0.35">
      <c r="D44" s="3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1:16" x14ac:dyDescent="0.35">
      <c r="A45" s="31" t="s">
        <v>147</v>
      </c>
      <c r="B45" t="s">
        <v>77</v>
      </c>
      <c r="C45" t="s">
        <v>148</v>
      </c>
      <c r="D45" t="s">
        <v>149</v>
      </c>
      <c r="E45" s="10">
        <v>0</v>
      </c>
      <c r="F45" s="10">
        <v>3815</v>
      </c>
      <c r="G45" s="10">
        <v>5956</v>
      </c>
      <c r="H45" s="10">
        <v>8081</v>
      </c>
      <c r="I45" s="10">
        <v>9308</v>
      </c>
      <c r="J45" s="10">
        <v>9009</v>
      </c>
      <c r="K45" s="10">
        <v>5381</v>
      </c>
      <c r="L45" s="10">
        <v>3451</v>
      </c>
      <c r="M45" s="10">
        <v>257</v>
      </c>
      <c r="N45" s="10">
        <v>169</v>
      </c>
      <c r="O45" s="22">
        <v>45427</v>
      </c>
    </row>
    <row r="46" spans="1:16" x14ac:dyDescent="0.35">
      <c r="A46" s="31" t="s">
        <v>147</v>
      </c>
      <c r="B46" t="s">
        <v>77</v>
      </c>
      <c r="C46" t="s">
        <v>150</v>
      </c>
      <c r="D46" t="s">
        <v>151</v>
      </c>
      <c r="E46" s="10">
        <v>0</v>
      </c>
      <c r="F46" s="10">
        <v>350</v>
      </c>
      <c r="G46" s="10">
        <v>1075</v>
      </c>
      <c r="H46" s="10">
        <v>2150</v>
      </c>
      <c r="I46" s="10">
        <v>2850</v>
      </c>
      <c r="J46" s="10">
        <v>900</v>
      </c>
      <c r="K46" s="10">
        <v>100</v>
      </c>
      <c r="L46" s="10">
        <v>100</v>
      </c>
      <c r="M46" s="10">
        <v>100</v>
      </c>
      <c r="N46" s="10">
        <v>100</v>
      </c>
      <c r="O46" s="22">
        <v>7725</v>
      </c>
    </row>
    <row r="47" spans="1:16" x14ac:dyDescent="0.35">
      <c r="A47" s="31" t="s">
        <v>147</v>
      </c>
      <c r="B47" t="s">
        <v>152</v>
      </c>
      <c r="C47" t="s">
        <v>153</v>
      </c>
      <c r="D47" t="s">
        <v>154</v>
      </c>
      <c r="E47" s="10">
        <v>0</v>
      </c>
      <c r="F47" s="10">
        <v>-586</v>
      </c>
      <c r="G47" s="10">
        <v>-775</v>
      </c>
      <c r="H47" s="10">
        <v>-752</v>
      </c>
      <c r="I47" s="10">
        <v>-743</v>
      </c>
      <c r="J47" s="10">
        <v>-755</v>
      </c>
      <c r="K47" s="10">
        <v>-804</v>
      </c>
      <c r="L47" s="10">
        <v>-849</v>
      </c>
      <c r="M47" s="10">
        <v>-901</v>
      </c>
      <c r="N47" s="10">
        <v>-931</v>
      </c>
      <c r="O47" s="22">
        <v>-7096</v>
      </c>
    </row>
    <row r="48" spans="1:16" x14ac:dyDescent="0.35">
      <c r="A48" s="3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9"/>
    </row>
    <row r="49" spans="3:15" x14ac:dyDescent="0.35">
      <c r="C49" s="41" t="s">
        <v>155</v>
      </c>
      <c r="D49" s="24"/>
      <c r="E49" s="21">
        <f>SUM(E2:E47)</f>
        <v>-152361</v>
      </c>
      <c r="F49" s="21">
        <f t="shared" ref="F49:O49" si="0">SUM(F2:F47)</f>
        <v>19365</v>
      </c>
      <c r="G49" s="21">
        <f t="shared" si="0"/>
        <v>3755</v>
      </c>
      <c r="H49" s="21">
        <f t="shared" si="0"/>
        <v>-50374</v>
      </c>
      <c r="I49" s="21">
        <f t="shared" si="0"/>
        <v>-99825</v>
      </c>
      <c r="J49" s="21">
        <f t="shared" si="0"/>
        <v>-147432</v>
      </c>
      <c r="K49" s="21">
        <f t="shared" si="0"/>
        <v>-193959</v>
      </c>
      <c r="L49" s="21">
        <f t="shared" si="0"/>
        <v>-224142</v>
      </c>
      <c r="M49" s="21">
        <f t="shared" si="0"/>
        <v>-226532</v>
      </c>
      <c r="N49" s="21">
        <f t="shared" si="0"/>
        <v>-242625</v>
      </c>
      <c r="O49" s="21">
        <f t="shared" si="0"/>
        <v>-1314124</v>
      </c>
    </row>
  </sheetData>
  <mergeCells count="1">
    <mergeCell ref="E1:O1"/>
  </mergeCells>
  <hyperlinks>
    <hyperlink ref="P3" r:id="rId1" xr:uid="{A51657A6-3F1B-486E-912F-9FE916FFB1AF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5363-C891-428E-BCC7-A4680FC44794}">
  <dimension ref="A1:T20"/>
  <sheetViews>
    <sheetView zoomScale="95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23" sqref="D23"/>
    </sheetView>
  </sheetViews>
  <sheetFormatPr defaultRowHeight="14.5" x14ac:dyDescent="0.35"/>
  <cols>
    <col min="2" max="2" width="24.1796875" bestFit="1" customWidth="1"/>
    <col min="3" max="3" width="22.7265625" customWidth="1"/>
    <col min="4" max="4" width="52.453125" customWidth="1"/>
    <col min="5" max="5" width="11.453125" bestFit="1" customWidth="1"/>
    <col min="6" max="8" width="12" bestFit="1" customWidth="1"/>
    <col min="9" max="11" width="13" bestFit="1" customWidth="1"/>
  </cols>
  <sheetData>
    <row r="1" spans="1:20" x14ac:dyDescent="0.35">
      <c r="E1" s="114" t="s">
        <v>206</v>
      </c>
      <c r="F1" s="114"/>
      <c r="G1" s="114"/>
      <c r="H1" s="114"/>
      <c r="I1" s="114"/>
      <c r="J1" s="114"/>
    </row>
    <row r="2" spans="1:20" x14ac:dyDescent="0.35">
      <c r="A2" t="s">
        <v>207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208</v>
      </c>
    </row>
    <row r="3" spans="1:20" x14ac:dyDescent="0.35">
      <c r="A3">
        <v>1</v>
      </c>
      <c r="B3" t="s">
        <v>111</v>
      </c>
      <c r="C3" t="s">
        <v>209</v>
      </c>
      <c r="D3" t="s">
        <v>210</v>
      </c>
      <c r="E3" s="10">
        <v>0</v>
      </c>
      <c r="F3" s="10">
        <v>-10121</v>
      </c>
      <c r="G3" s="10">
        <v>-7664</v>
      </c>
      <c r="H3" s="10">
        <v>-8078</v>
      </c>
      <c r="I3" s="10">
        <v>-5262</v>
      </c>
      <c r="J3" s="10">
        <v>-90</v>
      </c>
      <c r="K3" s="10"/>
      <c r="L3">
        <v>1</v>
      </c>
      <c r="M3" t="s">
        <v>211</v>
      </c>
    </row>
    <row r="4" spans="1:20" x14ac:dyDescent="0.35">
      <c r="A4">
        <v>1</v>
      </c>
      <c r="B4" t="s">
        <v>111</v>
      </c>
      <c r="C4" t="s">
        <v>212</v>
      </c>
      <c r="D4" t="s">
        <v>213</v>
      </c>
      <c r="E4" s="10">
        <v>0</v>
      </c>
      <c r="F4" s="10">
        <v>-32806</v>
      </c>
      <c r="G4" s="10">
        <v>-25672</v>
      </c>
      <c r="H4" s="10">
        <v>-22982</v>
      </c>
      <c r="I4" s="10">
        <v>-8113</v>
      </c>
      <c r="J4" s="10"/>
      <c r="K4" s="10"/>
      <c r="L4">
        <v>2</v>
      </c>
      <c r="M4" t="s">
        <v>214</v>
      </c>
    </row>
    <row r="5" spans="1:20" x14ac:dyDescent="0.35">
      <c r="A5">
        <v>1</v>
      </c>
      <c r="B5" t="s">
        <v>111</v>
      </c>
      <c r="C5" t="s">
        <v>215</v>
      </c>
      <c r="D5" t="s">
        <v>216</v>
      </c>
      <c r="E5" s="10">
        <f>23.2*1000</f>
        <v>23200</v>
      </c>
      <c r="F5" s="10">
        <f t="shared" ref="F5:H5" si="0">23.2*1000</f>
        <v>23200</v>
      </c>
      <c r="G5" s="10">
        <f t="shared" si="0"/>
        <v>23200</v>
      </c>
      <c r="H5" s="10">
        <f t="shared" si="0"/>
        <v>23200</v>
      </c>
      <c r="I5" s="10"/>
      <c r="J5" s="10"/>
      <c r="K5" s="10"/>
      <c r="L5">
        <v>3</v>
      </c>
      <c r="M5" t="s">
        <v>217</v>
      </c>
    </row>
    <row r="6" spans="1:20" x14ac:dyDescent="0.35">
      <c r="A6">
        <v>1</v>
      </c>
      <c r="B6" t="s">
        <v>111</v>
      </c>
      <c r="C6" t="s">
        <v>218</v>
      </c>
      <c r="D6" t="s">
        <v>219</v>
      </c>
      <c r="E6" s="10">
        <v>-1932</v>
      </c>
      <c r="F6" s="10">
        <v>-5400</v>
      </c>
      <c r="G6" s="10">
        <v>-8070</v>
      </c>
      <c r="H6" s="10">
        <v>-9916</v>
      </c>
      <c r="I6" s="10">
        <v>-5313</v>
      </c>
      <c r="J6" s="10"/>
      <c r="K6" s="10"/>
      <c r="L6">
        <v>4</v>
      </c>
      <c r="M6" t="s">
        <v>220</v>
      </c>
    </row>
    <row r="7" spans="1:20" x14ac:dyDescent="0.35">
      <c r="A7">
        <v>1</v>
      </c>
      <c r="B7" t="s">
        <v>111</v>
      </c>
      <c r="C7" t="s">
        <v>221</v>
      </c>
      <c r="D7" t="s">
        <v>222</v>
      </c>
      <c r="E7" s="10">
        <v>0</v>
      </c>
      <c r="F7" s="10">
        <v>0</v>
      </c>
      <c r="G7" s="10">
        <v>22285</v>
      </c>
      <c r="H7" s="10">
        <v>22300</v>
      </c>
      <c r="I7" s="10">
        <v>23227</v>
      </c>
      <c r="J7" s="10">
        <v>23399</v>
      </c>
      <c r="K7" s="10"/>
    </row>
    <row r="8" spans="1:20" x14ac:dyDescent="0.35">
      <c r="A8">
        <v>1</v>
      </c>
      <c r="B8" t="s">
        <v>111</v>
      </c>
      <c r="C8" t="s">
        <v>223</v>
      </c>
      <c r="D8" t="s">
        <v>224</v>
      </c>
      <c r="E8" s="10">
        <v>0</v>
      </c>
      <c r="F8" s="10">
        <v>1719</v>
      </c>
      <c r="G8" s="10">
        <v>13128</v>
      </c>
      <c r="H8" s="10">
        <v>13012</v>
      </c>
      <c r="I8" s="10">
        <v>13059</v>
      </c>
      <c r="J8" s="10">
        <v>13224</v>
      </c>
      <c r="K8" s="10"/>
    </row>
    <row r="9" spans="1:20" x14ac:dyDescent="0.35">
      <c r="A9">
        <v>2</v>
      </c>
      <c r="B9" t="s">
        <v>111</v>
      </c>
      <c r="C9" t="s">
        <v>225</v>
      </c>
      <c r="D9" t="s">
        <v>226</v>
      </c>
      <c r="E9" s="10">
        <v>0</v>
      </c>
      <c r="F9" s="10">
        <f>59.1*1000</f>
        <v>59100</v>
      </c>
      <c r="G9" s="10">
        <f>65.6*1000</f>
        <v>65600</v>
      </c>
      <c r="H9" s="10">
        <f>68.1*1000</f>
        <v>68100</v>
      </c>
      <c r="I9" s="10">
        <f>71.3*1000</f>
        <v>71300</v>
      </c>
      <c r="J9" s="10">
        <f>73.7*1000</f>
        <v>73700</v>
      </c>
      <c r="K9" s="10">
        <f>75.6*1000</f>
        <v>75600</v>
      </c>
    </row>
    <row r="10" spans="1:20" x14ac:dyDescent="0.35">
      <c r="C10" t="s">
        <v>227</v>
      </c>
      <c r="E10" s="10"/>
      <c r="F10" s="10"/>
      <c r="G10" s="10"/>
      <c r="H10" s="10"/>
      <c r="I10" s="10"/>
      <c r="J10" s="10"/>
      <c r="K10" s="10"/>
    </row>
    <row r="11" spans="1:20" x14ac:dyDescent="0.35">
      <c r="A11">
        <v>1</v>
      </c>
      <c r="B11" t="s">
        <v>65</v>
      </c>
      <c r="C11" t="s">
        <v>66</v>
      </c>
      <c r="D11" t="s">
        <v>228</v>
      </c>
      <c r="E11" s="10">
        <v>0</v>
      </c>
      <c r="F11" s="10">
        <v>-5800</v>
      </c>
      <c r="G11" s="10">
        <v>-8000</v>
      </c>
      <c r="H11" s="10">
        <v>-8000</v>
      </c>
      <c r="I11" s="10">
        <v>-8000</v>
      </c>
      <c r="J11" s="10">
        <v>-8000</v>
      </c>
      <c r="K11" s="10"/>
      <c r="L11" s="8"/>
      <c r="M11" s="8"/>
      <c r="N11" s="8"/>
    </row>
    <row r="12" spans="1:20" x14ac:dyDescent="0.35">
      <c r="A12">
        <v>2</v>
      </c>
      <c r="B12" t="s">
        <v>111</v>
      </c>
      <c r="C12" t="s">
        <v>229</v>
      </c>
      <c r="D12" t="s">
        <v>230</v>
      </c>
      <c r="E12" s="11">
        <v>-857</v>
      </c>
      <c r="F12" s="11">
        <v>-936</v>
      </c>
      <c r="G12" s="11">
        <v>-1237</v>
      </c>
      <c r="H12" s="11">
        <v>-887</v>
      </c>
      <c r="I12" s="11">
        <v>-570</v>
      </c>
      <c r="J12" s="11">
        <v>-360</v>
      </c>
      <c r="K12" s="10"/>
    </row>
    <row r="13" spans="1:20" x14ac:dyDescent="0.35">
      <c r="E13" s="11"/>
      <c r="F13" s="11"/>
      <c r="G13" s="11"/>
      <c r="H13" s="11"/>
      <c r="I13" s="11"/>
      <c r="J13" s="11"/>
      <c r="K13" s="10"/>
    </row>
    <row r="14" spans="1:20" x14ac:dyDescent="0.35">
      <c r="A14">
        <v>3</v>
      </c>
      <c r="B14" t="s">
        <v>125</v>
      </c>
      <c r="C14" t="s">
        <v>125</v>
      </c>
      <c r="D14" t="s">
        <v>231</v>
      </c>
      <c r="E14" s="10">
        <v>-804</v>
      </c>
      <c r="F14" s="10">
        <v>-22231</v>
      </c>
      <c r="G14" s="10">
        <v>-54668</v>
      </c>
      <c r="H14" s="10">
        <v>-72130</v>
      </c>
      <c r="I14" s="10">
        <v>-105304</v>
      </c>
      <c r="J14" s="10">
        <v>-125938</v>
      </c>
      <c r="K14" s="10">
        <v>-145002</v>
      </c>
      <c r="L14" t="s">
        <v>232</v>
      </c>
      <c r="T14" t="s">
        <v>233</v>
      </c>
    </row>
    <row r="15" spans="1:20" x14ac:dyDescent="0.35">
      <c r="A15">
        <v>4</v>
      </c>
      <c r="B15" t="s">
        <v>137</v>
      </c>
      <c r="C15" t="s">
        <v>138</v>
      </c>
      <c r="D15" t="s">
        <v>234</v>
      </c>
      <c r="E15" s="10" t="s">
        <v>235</v>
      </c>
      <c r="F15" s="10"/>
      <c r="G15" s="10"/>
      <c r="H15" s="10"/>
      <c r="I15" s="10"/>
      <c r="J15" s="10"/>
      <c r="K15" s="10"/>
    </row>
    <row r="16" spans="1:20" x14ac:dyDescent="0.35">
      <c r="A16">
        <v>3</v>
      </c>
      <c r="B16" t="s">
        <v>111</v>
      </c>
      <c r="C16" t="s">
        <v>116</v>
      </c>
      <c r="D16" t="s">
        <v>117</v>
      </c>
      <c r="E16" s="10">
        <v>0</v>
      </c>
      <c r="F16" s="10">
        <v>117</v>
      </c>
      <c r="G16" s="10">
        <v>-70</v>
      </c>
      <c r="H16" s="10">
        <v>-149</v>
      </c>
      <c r="I16" s="10">
        <v>-179</v>
      </c>
      <c r="J16" s="10">
        <v>-210</v>
      </c>
      <c r="K16" s="10"/>
    </row>
    <row r="17" spans="1:12" x14ac:dyDescent="0.35">
      <c r="A17">
        <v>3</v>
      </c>
      <c r="B17" t="s">
        <v>77</v>
      </c>
      <c r="C17" t="s">
        <v>78</v>
      </c>
      <c r="D17" t="s">
        <v>236</v>
      </c>
      <c r="E17" s="10">
        <v>2020</v>
      </c>
      <c r="F17" s="10">
        <v>41864</v>
      </c>
      <c r="G17" s="10">
        <v>44677</v>
      </c>
      <c r="H17" s="10">
        <v>24923</v>
      </c>
      <c r="I17" s="10">
        <v>17175</v>
      </c>
      <c r="J17" s="10">
        <v>9426</v>
      </c>
      <c r="K17" s="10">
        <v>4720</v>
      </c>
    </row>
    <row r="18" spans="1:12" x14ac:dyDescent="0.35">
      <c r="A18">
        <v>3</v>
      </c>
      <c r="B18" t="s">
        <v>77</v>
      </c>
      <c r="C18" t="s">
        <v>143</v>
      </c>
      <c r="D18" t="s">
        <v>237</v>
      </c>
      <c r="E18" s="10">
        <v>0</v>
      </c>
      <c r="F18" s="10">
        <v>3139</v>
      </c>
      <c r="G18" s="10">
        <v>3020</v>
      </c>
      <c r="H18" s="10">
        <v>2911</v>
      </c>
      <c r="I18" s="10">
        <v>762</v>
      </c>
      <c r="J18" s="10">
        <v>168</v>
      </c>
      <c r="K18" s="10"/>
    </row>
    <row r="19" spans="1:12" x14ac:dyDescent="0.35">
      <c r="A19">
        <v>3</v>
      </c>
      <c r="B19" t="s">
        <v>77</v>
      </c>
      <c r="C19" t="s">
        <v>238</v>
      </c>
      <c r="D19" t="s">
        <v>239</v>
      </c>
      <c r="E19" s="10">
        <v>0</v>
      </c>
      <c r="F19" s="12">
        <v>1492</v>
      </c>
      <c r="G19" s="12">
        <v>2985</v>
      </c>
      <c r="H19" s="12">
        <v>4478</v>
      </c>
      <c r="I19" s="12">
        <v>5970</v>
      </c>
      <c r="J19" s="12">
        <v>7462</v>
      </c>
      <c r="K19" s="12">
        <v>4478</v>
      </c>
      <c r="L19" s="9"/>
    </row>
    <row r="20" spans="1:12" x14ac:dyDescent="0.35">
      <c r="B20" t="s">
        <v>130</v>
      </c>
      <c r="C20" t="s">
        <v>130</v>
      </c>
      <c r="D20" t="s">
        <v>240</v>
      </c>
      <c r="E20" s="10"/>
      <c r="F20" s="10"/>
      <c r="G20" s="10"/>
      <c r="H20" s="10"/>
      <c r="I20" s="10"/>
      <c r="J20" s="10"/>
      <c r="K20" s="12">
        <v>4478</v>
      </c>
    </row>
  </sheetData>
  <mergeCells count="1">
    <mergeCell ref="E1:J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2A70-7C1F-4632-8BAF-38457D58F1F3}">
  <dimension ref="A1:V48"/>
  <sheetViews>
    <sheetView zoomScale="88" workbookViewId="0">
      <selection activeCell="B27" sqref="B27"/>
    </sheetView>
  </sheetViews>
  <sheetFormatPr defaultRowHeight="14.5" x14ac:dyDescent="0.35"/>
  <cols>
    <col min="1" max="1" width="43" customWidth="1"/>
    <col min="2" max="2" width="11.1796875" customWidth="1"/>
    <col min="3" max="3" width="17.7265625" bestFit="1" customWidth="1"/>
    <col min="4" max="4" width="46.1796875" bestFit="1" customWidth="1"/>
    <col min="16384" max="16384" width="9.1796875" bestFit="1" customWidth="1"/>
  </cols>
  <sheetData>
    <row r="1" spans="1:22" x14ac:dyDescent="0.35">
      <c r="E1">
        <v>2025</v>
      </c>
      <c r="F1">
        <v>2025</v>
      </c>
      <c r="G1">
        <v>2025</v>
      </c>
      <c r="H1">
        <v>2025</v>
      </c>
      <c r="I1">
        <v>2025</v>
      </c>
      <c r="J1">
        <v>2025</v>
      </c>
      <c r="K1">
        <v>2026</v>
      </c>
      <c r="L1">
        <v>2026</v>
      </c>
      <c r="M1">
        <v>2026</v>
      </c>
      <c r="N1">
        <v>2026</v>
      </c>
      <c r="O1">
        <v>2026</v>
      </c>
      <c r="P1">
        <v>2026</v>
      </c>
      <c r="Q1">
        <v>2026</v>
      </c>
      <c r="R1">
        <v>2026</v>
      </c>
      <c r="S1">
        <v>2026</v>
      </c>
    </row>
    <row r="2" spans="1:22" x14ac:dyDescent="0.35">
      <c r="A2" s="1" t="s">
        <v>51</v>
      </c>
      <c r="B2" s="2"/>
      <c r="C2" s="2" t="s">
        <v>52</v>
      </c>
      <c r="D2" s="2" t="s">
        <v>53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J2" t="s">
        <v>246</v>
      </c>
      <c r="K2" t="s">
        <v>247</v>
      </c>
      <c r="L2" t="s">
        <v>248</v>
      </c>
      <c r="M2" t="s">
        <v>249</v>
      </c>
      <c r="N2" t="s">
        <v>250</v>
      </c>
      <c r="O2" t="s">
        <v>251</v>
      </c>
      <c r="P2" t="s">
        <v>252</v>
      </c>
      <c r="Q2" t="s">
        <v>241</v>
      </c>
      <c r="R2" t="s">
        <v>242</v>
      </c>
      <c r="S2" t="s">
        <v>243</v>
      </c>
      <c r="T2" t="s">
        <v>244</v>
      </c>
      <c r="U2" t="s">
        <v>245</v>
      </c>
      <c r="V2" t="s">
        <v>246</v>
      </c>
    </row>
    <row r="3" spans="1:22" x14ac:dyDescent="0.35">
      <c r="A3" s="4" t="s">
        <v>253</v>
      </c>
      <c r="B3" s="5"/>
      <c r="C3" s="5" t="s">
        <v>209</v>
      </c>
      <c r="D3" s="5" t="s">
        <v>210</v>
      </c>
    </row>
    <row r="4" spans="1:22" x14ac:dyDescent="0.35">
      <c r="A4" s="4" t="s">
        <v>254</v>
      </c>
      <c r="B4" s="5"/>
      <c r="C4" s="5" t="s">
        <v>66</v>
      </c>
      <c r="D4" s="5"/>
      <c r="K4">
        <v>-0.6</v>
      </c>
      <c r="L4">
        <v>-0.6</v>
      </c>
      <c r="M4">
        <v>-0.6</v>
      </c>
      <c r="N4">
        <v>-0.6</v>
      </c>
      <c r="O4">
        <v>-0.6</v>
      </c>
      <c r="P4">
        <v>-0.1</v>
      </c>
      <c r="Q4">
        <v>-0.6</v>
      </c>
      <c r="R4">
        <v>-0.6</v>
      </c>
      <c r="S4">
        <v>-1</v>
      </c>
      <c r="T4">
        <v>-0.6</v>
      </c>
      <c r="U4">
        <v>-0.6</v>
      </c>
      <c r="V4">
        <v>-0.6</v>
      </c>
    </row>
    <row r="5" spans="1:22" x14ac:dyDescent="0.35">
      <c r="A5" s="4" t="s">
        <v>255</v>
      </c>
      <c r="B5" s="5"/>
      <c r="C5" s="5" t="s">
        <v>138</v>
      </c>
      <c r="D5" s="5"/>
      <c r="K5">
        <v>-5.2</v>
      </c>
      <c r="L5">
        <v>-4.9000000000000004</v>
      </c>
      <c r="M5">
        <v>-5.4</v>
      </c>
      <c r="N5">
        <v>-5.6</v>
      </c>
      <c r="O5">
        <v>-5.2</v>
      </c>
      <c r="P5">
        <v>-5.2</v>
      </c>
      <c r="Q5">
        <v>-5.2</v>
      </c>
      <c r="R5">
        <v>-2</v>
      </c>
      <c r="S5">
        <v>-2</v>
      </c>
      <c r="T5">
        <v>-2</v>
      </c>
      <c r="U5">
        <v>-2</v>
      </c>
      <c r="V5">
        <v>0</v>
      </c>
    </row>
    <row r="19" spans="1:4" x14ac:dyDescent="0.35">
      <c r="B19" t="s">
        <v>256</v>
      </c>
      <c r="C19" t="s">
        <v>257</v>
      </c>
      <c r="D19" t="s">
        <v>258</v>
      </c>
    </row>
    <row r="20" spans="1:4" x14ac:dyDescent="0.35">
      <c r="C20" t="s">
        <v>259</v>
      </c>
      <c r="D20" t="s">
        <v>260</v>
      </c>
    </row>
    <row r="21" spans="1:4" x14ac:dyDescent="0.35">
      <c r="C21" t="s">
        <v>261</v>
      </c>
      <c r="D21" t="s">
        <v>262</v>
      </c>
    </row>
    <row r="22" spans="1:4" x14ac:dyDescent="0.35">
      <c r="C22" t="s">
        <v>263</v>
      </c>
      <c r="D22" t="s">
        <v>264</v>
      </c>
    </row>
    <row r="24" spans="1:4" x14ac:dyDescent="0.35">
      <c r="C24" t="s">
        <v>265</v>
      </c>
      <c r="D24" t="s">
        <v>266</v>
      </c>
    </row>
    <row r="25" spans="1:4" x14ac:dyDescent="0.35">
      <c r="A25" s="6"/>
      <c r="C25" t="s">
        <v>267</v>
      </c>
      <c r="D25" t="s">
        <v>268</v>
      </c>
    </row>
    <row r="26" spans="1:4" x14ac:dyDescent="0.35">
      <c r="A26" s="6"/>
      <c r="C26" t="s">
        <v>269</v>
      </c>
      <c r="D26" t="s">
        <v>270</v>
      </c>
    </row>
    <row r="27" spans="1:4" x14ac:dyDescent="0.35">
      <c r="A27" s="6"/>
    </row>
    <row r="28" spans="1:4" x14ac:dyDescent="0.35">
      <c r="A28" s="6"/>
    </row>
    <row r="29" spans="1:4" x14ac:dyDescent="0.35">
      <c r="A29" s="6"/>
    </row>
    <row r="30" spans="1:4" x14ac:dyDescent="0.35">
      <c r="A30" s="6"/>
    </row>
    <row r="31" spans="1:4" x14ac:dyDescent="0.35">
      <c r="A31" s="6"/>
    </row>
    <row r="32" spans="1:4" x14ac:dyDescent="0.35">
      <c r="A32" s="6"/>
    </row>
    <row r="33" spans="1:1" x14ac:dyDescent="0.35">
      <c r="A33" s="6"/>
    </row>
    <row r="34" spans="1:1" x14ac:dyDescent="0.35">
      <c r="A34" s="6"/>
    </row>
    <row r="35" spans="1:1" x14ac:dyDescent="0.35">
      <c r="A35" s="6"/>
    </row>
    <row r="36" spans="1:1" x14ac:dyDescent="0.35">
      <c r="A36" s="6"/>
    </row>
    <row r="37" spans="1:1" x14ac:dyDescent="0.35">
      <c r="A37" s="6"/>
    </row>
    <row r="38" spans="1:1" x14ac:dyDescent="0.35">
      <c r="A38" s="6"/>
    </row>
    <row r="39" spans="1:1" x14ac:dyDescent="0.35">
      <c r="A39" s="6"/>
    </row>
    <row r="40" spans="1:1" x14ac:dyDescent="0.35">
      <c r="A40" s="6"/>
    </row>
    <row r="41" spans="1:1" x14ac:dyDescent="0.35">
      <c r="A41" s="6"/>
    </row>
    <row r="42" spans="1:1" x14ac:dyDescent="0.35">
      <c r="A42" s="6"/>
    </row>
    <row r="43" spans="1:1" x14ac:dyDescent="0.35">
      <c r="A43" s="6"/>
    </row>
    <row r="44" spans="1:1" x14ac:dyDescent="0.35">
      <c r="A44" s="6"/>
    </row>
    <row r="45" spans="1:1" x14ac:dyDescent="0.35">
      <c r="A45" s="6"/>
    </row>
    <row r="46" spans="1:1" x14ac:dyDescent="0.35">
      <c r="A46" s="6"/>
    </row>
    <row r="47" spans="1:1" x14ac:dyDescent="0.35">
      <c r="A47" s="7"/>
    </row>
    <row r="48" spans="1:1" x14ac:dyDescent="0.35">
      <c r="A4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74A9-6F3D-47C6-A5A0-2240DC17F07D}">
  <dimension ref="A1:P49"/>
  <sheetViews>
    <sheetView zoomScale="89" zoomScaleNormal="100" workbookViewId="0">
      <pane xSplit="3" ySplit="2" topLeftCell="D14" activePane="bottomRight" state="frozen"/>
      <selection pane="topRight" activeCell="D1" sqref="D1"/>
      <selection pane="bottomLeft" activeCell="A3" sqref="A3"/>
      <selection pane="bottomRight" activeCell="F30" sqref="F30"/>
    </sheetView>
  </sheetViews>
  <sheetFormatPr defaultRowHeight="14.5" x14ac:dyDescent="0.35"/>
  <cols>
    <col min="2" max="2" width="24.1796875" bestFit="1" customWidth="1"/>
    <col min="3" max="3" width="22.7265625" customWidth="1"/>
    <col min="4" max="4" width="52.453125" customWidth="1"/>
    <col min="5" max="5" width="11.453125" bestFit="1" customWidth="1"/>
    <col min="6" max="8" width="12" bestFit="1" customWidth="1"/>
    <col min="9" max="11" width="13" bestFit="1" customWidth="1"/>
    <col min="12" max="14" width="13" customWidth="1"/>
    <col min="15" max="15" width="15.453125" bestFit="1" customWidth="1"/>
  </cols>
  <sheetData>
    <row r="1" spans="1:16" x14ac:dyDescent="0.35">
      <c r="E1" s="112" t="s">
        <v>49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6" x14ac:dyDescent="0.3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</row>
    <row r="3" spans="1:16" x14ac:dyDescent="0.35">
      <c r="A3" t="s">
        <v>31</v>
      </c>
      <c r="B3" t="s">
        <v>65</v>
      </c>
      <c r="C3" t="s">
        <v>66</v>
      </c>
      <c r="D3" t="s">
        <v>67</v>
      </c>
      <c r="E3" s="29">
        <f>Table22[[#This Row],[2025]]-Table225[[#This Row],[2025]]</f>
        <v>0</v>
      </c>
      <c r="F3" s="29">
        <f>Table22[[#This Row],[2026]]-Table225[[#This Row],[2026]]</f>
        <v>0</v>
      </c>
      <c r="G3" s="29">
        <f>Table22[[#This Row],[2027]]-Table225[[#This Row],[2027]]</f>
        <v>0</v>
      </c>
      <c r="H3" s="29">
        <f>Table22[[#This Row],[2028]]-Table225[[#This Row],[2028]]</f>
        <v>0</v>
      </c>
      <c r="I3" s="29">
        <f>Table22[[#This Row],[2029]]-Table225[[#This Row],[2029]]</f>
        <v>0</v>
      </c>
      <c r="J3" s="29">
        <f>Table22[[#This Row],[2030]]-Table225[[#This Row],[2030]]</f>
        <v>0</v>
      </c>
      <c r="K3" s="29">
        <f>Table22[[#This Row],[2031]]-Table225[[#This Row],[2031]]</f>
        <v>0</v>
      </c>
      <c r="L3" s="29">
        <f>Table22[[#This Row],[2032]]-Table225[[#This Row],[2032]]</f>
        <v>0</v>
      </c>
      <c r="M3" s="29">
        <f>Table22[[#This Row],[2033]]-Table225[[#This Row],[2033]]</f>
        <v>0</v>
      </c>
      <c r="N3" s="29">
        <f>Table22[[#This Row],[2034]]-Table225[[#This Row],[2034]]</f>
        <v>0</v>
      </c>
      <c r="O3" s="29">
        <f>Table22[[#This Row],[2025-2034 Totals]]-Table225[[#This Row],[2025-2034 Totals]]</f>
        <v>0</v>
      </c>
      <c r="P3" s="3" t="s">
        <v>68</v>
      </c>
    </row>
    <row r="4" spans="1:16" x14ac:dyDescent="0.35">
      <c r="A4" t="s">
        <v>31</v>
      </c>
      <c r="C4" t="s">
        <v>69</v>
      </c>
      <c r="D4" t="s">
        <v>70</v>
      </c>
      <c r="E4" s="29">
        <f>Table22[[#This Row],[2025]]-Table225[[#This Row],[2025]]</f>
        <v>0</v>
      </c>
      <c r="F4" s="29">
        <f>Table22[[#This Row],[2026]]-Table225[[#This Row],[2026]]</f>
        <v>0</v>
      </c>
      <c r="G4" s="29">
        <f>Table22[[#This Row],[2027]]-Table225[[#This Row],[2027]]</f>
        <v>0</v>
      </c>
      <c r="H4" s="29">
        <f>Table22[[#This Row],[2028]]-Table225[[#This Row],[2028]]</f>
        <v>0</v>
      </c>
      <c r="I4" s="29">
        <f>Table22[[#This Row],[2029]]-Table225[[#This Row],[2029]]</f>
        <v>0</v>
      </c>
      <c r="J4" s="29">
        <f>Table22[[#This Row],[2030]]-Table225[[#This Row],[2030]]</f>
        <v>0</v>
      </c>
      <c r="K4" s="29">
        <f>Table22[[#This Row],[2031]]-Table225[[#This Row],[2031]]</f>
        <v>0</v>
      </c>
      <c r="L4" s="29">
        <f>Table22[[#This Row],[2032]]-Table225[[#This Row],[2032]]</f>
        <v>0</v>
      </c>
      <c r="M4" s="29">
        <f>Table22[[#This Row],[2033]]-Table225[[#This Row],[2033]]</f>
        <v>0</v>
      </c>
      <c r="N4" s="29">
        <f>Table22[[#This Row],[2034]]-Table225[[#This Row],[2034]]</f>
        <v>0</v>
      </c>
      <c r="O4" s="29">
        <f>Table22[[#This Row],[2025-2034 Totals]]-Table225[[#This Row],[2025-2034 Totals]]</f>
        <v>0</v>
      </c>
    </row>
    <row r="5" spans="1:16" x14ac:dyDescent="0.35">
      <c r="A5" t="s">
        <v>31</v>
      </c>
      <c r="C5" t="s">
        <v>69</v>
      </c>
      <c r="D5" t="s">
        <v>73</v>
      </c>
      <c r="E5" s="29">
        <f>Table22[[#This Row],[2025]]-Table225[[#This Row],[2025]]</f>
        <v>0</v>
      </c>
      <c r="F5" s="29">
        <f>Table22[[#This Row],[2026]]-Table225[[#This Row],[2026]]</f>
        <v>0</v>
      </c>
      <c r="G5" s="29">
        <f>Table22[[#This Row],[2027]]-Table225[[#This Row],[2027]]</f>
        <v>0</v>
      </c>
      <c r="H5" s="29">
        <f>Table22[[#This Row],[2028]]-Table225[[#This Row],[2028]]</f>
        <v>0</v>
      </c>
      <c r="I5" s="29">
        <f>Table22[[#This Row],[2029]]-Table225[[#This Row],[2029]]</f>
        <v>0</v>
      </c>
      <c r="J5" s="29">
        <f>Table22[[#This Row],[2030]]-Table225[[#This Row],[2030]]</f>
        <v>0</v>
      </c>
      <c r="K5" s="29">
        <f>Table22[[#This Row],[2031]]-Table225[[#This Row],[2031]]</f>
        <v>0</v>
      </c>
      <c r="L5" s="29">
        <f>Table22[[#This Row],[2032]]-Table225[[#This Row],[2032]]</f>
        <v>0</v>
      </c>
      <c r="M5" s="29">
        <f>Table22[[#This Row],[2033]]-Table225[[#This Row],[2033]]</f>
        <v>0</v>
      </c>
      <c r="N5" s="29">
        <f>Table22[[#This Row],[2034]]-Table225[[#This Row],[2034]]</f>
        <v>0</v>
      </c>
      <c r="O5" s="29">
        <f>Table22[[#This Row],[2025-2034 Totals]]-Table225[[#This Row],[2025-2034 Totals]]</f>
        <v>0</v>
      </c>
    </row>
    <row r="6" spans="1:16" x14ac:dyDescent="0.35">
      <c r="A6" t="s">
        <v>31</v>
      </c>
      <c r="C6" t="s">
        <v>69</v>
      </c>
      <c r="D6" t="s">
        <v>74</v>
      </c>
      <c r="E6" s="29">
        <f>Table22[[#This Row],[2025]]-Table225[[#This Row],[2025]]</f>
        <v>0</v>
      </c>
      <c r="F6" s="29">
        <f>Table22[[#This Row],[2026]]-Table225[[#This Row],[2026]]</f>
        <v>0</v>
      </c>
      <c r="G6" s="29">
        <f>Table22[[#This Row],[2027]]-Table225[[#This Row],[2027]]</f>
        <v>0</v>
      </c>
      <c r="H6" s="29">
        <f>Table22[[#This Row],[2028]]-Table225[[#This Row],[2028]]</f>
        <v>0</v>
      </c>
      <c r="I6" s="29">
        <f>Table22[[#This Row],[2029]]-Table225[[#This Row],[2029]]</f>
        <v>0</v>
      </c>
      <c r="J6" s="29">
        <f>Table22[[#This Row],[2030]]-Table225[[#This Row],[2030]]</f>
        <v>0</v>
      </c>
      <c r="K6" s="29">
        <f>Table22[[#This Row],[2031]]-Table225[[#This Row],[2031]]</f>
        <v>0</v>
      </c>
      <c r="L6" s="29">
        <f>Table22[[#This Row],[2032]]-Table225[[#This Row],[2032]]</f>
        <v>0</v>
      </c>
      <c r="M6" s="29">
        <f>Table22[[#This Row],[2033]]-Table225[[#This Row],[2033]]</f>
        <v>0</v>
      </c>
      <c r="N6" s="29">
        <f>Table22[[#This Row],[2034]]-Table225[[#This Row],[2034]]</f>
        <v>0</v>
      </c>
      <c r="O6" s="29">
        <f>Table22[[#This Row],[2025-2034 Totals]]-Table225[[#This Row],[2025-2034 Totals]]</f>
        <v>0</v>
      </c>
    </row>
    <row r="7" spans="1:16" ht="15.5" x14ac:dyDescent="0.35">
      <c r="A7" t="s">
        <v>31</v>
      </c>
      <c r="D7" s="17" t="s">
        <v>201</v>
      </c>
      <c r="E7" s="29">
        <f>Table22[[#This Row],[2025]]-Table225[[#This Row],[2025]]</f>
        <v>0</v>
      </c>
      <c r="F7" s="29">
        <f>Table22[[#This Row],[2026]]-Table225[[#This Row],[2026]]</f>
        <v>0</v>
      </c>
      <c r="G7" s="29">
        <f>Table22[[#This Row],[2027]]-Table225[[#This Row],[2027]]</f>
        <v>0</v>
      </c>
      <c r="H7" s="29">
        <f>Table22[[#This Row],[2028]]-Table225[[#This Row],[2028]]</f>
        <v>0</v>
      </c>
      <c r="I7" s="29">
        <f>Table22[[#This Row],[2029]]-Table225[[#This Row],[2029]]</f>
        <v>0</v>
      </c>
      <c r="J7" s="29">
        <f>Table22[[#This Row],[2030]]-Table225[[#This Row],[2030]]</f>
        <v>0</v>
      </c>
      <c r="K7" s="29">
        <f>Table22[[#This Row],[2031]]-Table225[[#This Row],[2031]]</f>
        <v>0</v>
      </c>
      <c r="L7" s="29">
        <f>Table22[[#This Row],[2032]]-Table225[[#This Row],[2032]]</f>
        <v>0</v>
      </c>
      <c r="M7" s="29">
        <f>Table22[[#This Row],[2033]]-Table225[[#This Row],[2033]]</f>
        <v>0</v>
      </c>
      <c r="N7" s="29">
        <f>Table22[[#This Row],[2034]]-Table225[[#This Row],[2034]]</f>
        <v>0</v>
      </c>
      <c r="O7" s="29">
        <f>Table22[[#This Row],[2025-2034 Totals]]-Table225[[#This Row],[2025-2034 Totals]]</f>
        <v>0</v>
      </c>
    </row>
    <row r="8" spans="1:16" x14ac:dyDescent="0.35">
      <c r="A8" t="s">
        <v>31</v>
      </c>
      <c r="C8" t="s">
        <v>69</v>
      </c>
      <c r="D8" t="s">
        <v>76</v>
      </c>
      <c r="E8" s="29">
        <f>Table22[[#This Row],[2025]]-Table225[[#This Row],[2025]]</f>
        <v>0</v>
      </c>
      <c r="F8" s="29">
        <f>Table22[[#This Row],[2026]]-Table225[[#This Row],[2026]]</f>
        <v>0</v>
      </c>
      <c r="G8" s="29">
        <f>Table22[[#This Row],[2027]]-Table225[[#This Row],[2027]]</f>
        <v>0</v>
      </c>
      <c r="H8" s="29">
        <f>Table22[[#This Row],[2028]]-Table225[[#This Row],[2028]]</f>
        <v>0</v>
      </c>
      <c r="I8" s="29">
        <f>Table22[[#This Row],[2029]]-Table225[[#This Row],[2029]]</f>
        <v>0</v>
      </c>
      <c r="J8" s="29">
        <f>Table22[[#This Row],[2030]]-Table225[[#This Row],[2030]]</f>
        <v>0</v>
      </c>
      <c r="K8" s="29">
        <f>Table22[[#This Row],[2031]]-Table225[[#This Row],[2031]]</f>
        <v>0</v>
      </c>
      <c r="L8" s="29">
        <f>Table22[[#This Row],[2032]]-Table225[[#This Row],[2032]]</f>
        <v>0</v>
      </c>
      <c r="M8" s="29">
        <f>Table22[[#This Row],[2033]]-Table225[[#This Row],[2033]]</f>
        <v>0</v>
      </c>
      <c r="N8" s="29">
        <f>Table22[[#This Row],[2034]]-Table225[[#This Row],[2034]]</f>
        <v>0</v>
      </c>
      <c r="O8" s="29">
        <f>Table22[[#This Row],[2025-2034 Totals]]-Table225[[#This Row],[2025-2034 Totals]]</f>
        <v>0</v>
      </c>
    </row>
    <row r="9" spans="1:16" x14ac:dyDescent="0.35"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6" x14ac:dyDescent="0.35">
      <c r="A10" t="s">
        <v>41</v>
      </c>
      <c r="B10" t="s">
        <v>77</v>
      </c>
      <c r="C10" t="s">
        <v>78</v>
      </c>
      <c r="D10" t="s">
        <v>79</v>
      </c>
      <c r="E10" s="29">
        <f>Table22[[#This Row],[2025]]-Table225[[#This Row],[2025]]</f>
        <v>0</v>
      </c>
      <c r="F10" s="29">
        <f>Table22[[#This Row],[2026]]-Table225[[#This Row],[2026]]</f>
        <v>0</v>
      </c>
      <c r="G10" s="29">
        <f>Table22[[#This Row],[2027]]-Table225[[#This Row],[2027]]</f>
        <v>0</v>
      </c>
      <c r="H10" s="29">
        <f>Table22[[#This Row],[2028]]-Table225[[#This Row],[2028]]</f>
        <v>0</v>
      </c>
      <c r="I10" s="29">
        <f>Table22[[#This Row],[2029]]-Table225[[#This Row],[2029]]</f>
        <v>0</v>
      </c>
      <c r="J10" s="29">
        <f>Table22[[#This Row],[2030]]-Table225[[#This Row],[2030]]</f>
        <v>0</v>
      </c>
      <c r="K10" s="29">
        <f>Table22[[#This Row],[2031]]-Table225[[#This Row],[2031]]</f>
        <v>0</v>
      </c>
      <c r="L10" s="29">
        <f>Table22[[#This Row],[2032]]-Table225[[#This Row],[2032]]</f>
        <v>0</v>
      </c>
      <c r="M10" s="29">
        <f>Table22[[#This Row],[2033]]-Table225[[#This Row],[2033]]</f>
        <v>0</v>
      </c>
      <c r="N10" s="29">
        <f>Table22[[#This Row],[2034]]-Table225[[#This Row],[2034]]</f>
        <v>0</v>
      </c>
      <c r="O10" s="29">
        <f>Table22[[#This Row],[2025-2034 Totals]]-Table225[[#This Row],[2025-2034 Totals]]</f>
        <v>0</v>
      </c>
    </row>
    <row r="11" spans="1:16" x14ac:dyDescent="0.35">
      <c r="E11" s="29">
        <f>Table22[[#This Row],[2025]]-Table225[[#This Row],[2025]]</f>
        <v>0</v>
      </c>
      <c r="F11" s="29">
        <f>Table22[[#This Row],[2026]]-Table225[[#This Row],[2026]]</f>
        <v>0</v>
      </c>
      <c r="G11" s="29">
        <f>Table22[[#This Row],[2027]]-Table225[[#This Row],[2027]]</f>
        <v>0</v>
      </c>
      <c r="H11" s="29">
        <f>Table22[[#This Row],[2028]]-Table225[[#This Row],[2028]]</f>
        <v>0</v>
      </c>
      <c r="I11" s="29">
        <f>Table22[[#This Row],[2029]]-Table225[[#This Row],[2029]]</f>
        <v>0</v>
      </c>
      <c r="J11" s="29">
        <f>Table22[[#This Row],[2030]]-Table225[[#This Row],[2030]]</f>
        <v>0</v>
      </c>
      <c r="K11" s="29">
        <f>Table22[[#This Row],[2031]]-Table225[[#This Row],[2031]]</f>
        <v>0</v>
      </c>
      <c r="L11" s="29">
        <f>Table22[[#This Row],[2032]]-Table225[[#This Row],[2032]]</f>
        <v>0</v>
      </c>
      <c r="M11" s="29">
        <f>Table22[[#This Row],[2033]]-Table225[[#This Row],[2033]]</f>
        <v>0</v>
      </c>
      <c r="N11" s="29">
        <f>Table22[[#This Row],[2034]]-Table225[[#This Row],[2034]]</f>
        <v>0</v>
      </c>
      <c r="O11" s="29"/>
    </row>
    <row r="12" spans="1:16" x14ac:dyDescent="0.35">
      <c r="A12" t="s">
        <v>80</v>
      </c>
      <c r="D12" t="s">
        <v>81</v>
      </c>
      <c r="E12" s="29">
        <f>Table22[[#This Row],[2025]]-Table225[[#This Row],[2025]]</f>
        <v>0</v>
      </c>
      <c r="F12" s="29">
        <f>Table22[[#This Row],[2026]]-Table225[[#This Row],[2026]]</f>
        <v>0</v>
      </c>
      <c r="G12" s="29">
        <f>Table22[[#This Row],[2027]]-Table225[[#This Row],[2027]]</f>
        <v>0</v>
      </c>
      <c r="H12" s="29">
        <f>Table22[[#This Row],[2028]]-Table225[[#This Row],[2028]]</f>
        <v>0</v>
      </c>
      <c r="I12" s="29">
        <f>Table22[[#This Row],[2029]]-Table225[[#This Row],[2029]]</f>
        <v>0</v>
      </c>
      <c r="J12" s="29">
        <f>Table22[[#This Row],[2030]]-Table225[[#This Row],[2030]]</f>
        <v>0</v>
      </c>
      <c r="K12" s="29">
        <f>Table22[[#This Row],[2031]]-Table225[[#This Row],[2031]]</f>
        <v>0</v>
      </c>
      <c r="L12" s="29">
        <f>Table22[[#This Row],[2032]]-Table225[[#This Row],[2032]]</f>
        <v>0</v>
      </c>
      <c r="M12" s="29">
        <f>Table22[[#This Row],[2033]]-Table225[[#This Row],[2033]]</f>
        <v>0</v>
      </c>
      <c r="N12" s="29">
        <f>Table22[[#This Row],[2034]]-Table225[[#This Row],[2034]]</f>
        <v>0</v>
      </c>
      <c r="O12" s="29">
        <f>Table22[[#This Row],[2025-2034 Totals]]-Table225[[#This Row],[2025-2034 Totals]]</f>
        <v>0</v>
      </c>
    </row>
    <row r="13" spans="1:16" x14ac:dyDescent="0.35">
      <c r="A13" t="s">
        <v>80</v>
      </c>
      <c r="B13" t="s">
        <v>82</v>
      </c>
      <c r="D13" t="s">
        <v>83</v>
      </c>
      <c r="E13" s="29">
        <f>Table22[[#This Row],[2025]]-Table225[[#This Row],[2025]]</f>
        <v>0</v>
      </c>
      <c r="F13" s="29">
        <f>Table22[[#This Row],[2026]]-Table225[[#This Row],[2026]]</f>
        <v>0</v>
      </c>
      <c r="G13" s="29">
        <f>Table22[[#This Row],[2027]]-Table225[[#This Row],[2027]]</f>
        <v>0</v>
      </c>
      <c r="H13" s="29">
        <f>Table22[[#This Row],[2028]]-Table225[[#This Row],[2028]]</f>
        <v>0</v>
      </c>
      <c r="I13" s="29">
        <f>Table22[[#This Row],[2029]]-Table225[[#This Row],[2029]]</f>
        <v>0</v>
      </c>
      <c r="J13" s="29">
        <f>Table22[[#This Row],[2030]]-Table225[[#This Row],[2030]]</f>
        <v>0</v>
      </c>
      <c r="K13" s="29">
        <f>Table22[[#This Row],[2031]]-Table225[[#This Row],[2031]]</f>
        <v>0</v>
      </c>
      <c r="L13" s="29">
        <f>Table22[[#This Row],[2032]]-Table225[[#This Row],[2032]]</f>
        <v>0</v>
      </c>
      <c r="M13" s="29">
        <f>Table22[[#This Row],[2033]]-Table225[[#This Row],[2033]]</f>
        <v>0</v>
      </c>
      <c r="N13" s="29">
        <f>Table22[[#This Row],[2034]]-Table225[[#This Row],[2034]]</f>
        <v>0</v>
      </c>
      <c r="O13" s="29">
        <f>Table22[[#This Row],[2025-2034 Totals]]-Table225[[#This Row],[2025-2034 Totals]]</f>
        <v>0</v>
      </c>
    </row>
    <row r="14" spans="1:16" x14ac:dyDescent="0.35">
      <c r="A14" t="s">
        <v>80</v>
      </c>
      <c r="D14" t="s">
        <v>84</v>
      </c>
      <c r="E14" s="29">
        <f>Table22[[#This Row],[2025]]-Table225[[#This Row],[2025]]</f>
        <v>0</v>
      </c>
      <c r="F14" s="29">
        <f>Table22[[#This Row],[2026]]-Table225[[#This Row],[2026]]</f>
        <v>0</v>
      </c>
      <c r="G14" s="29">
        <f>Table22[[#This Row],[2027]]-Table225[[#This Row],[2027]]</f>
        <v>0</v>
      </c>
      <c r="H14" s="29">
        <f>Table22[[#This Row],[2028]]-Table225[[#This Row],[2028]]</f>
        <v>0</v>
      </c>
      <c r="I14" s="29">
        <f>Table22[[#This Row],[2029]]-Table225[[#This Row],[2029]]</f>
        <v>0</v>
      </c>
      <c r="J14" s="29">
        <f>Table22[[#This Row],[2030]]-Table225[[#This Row],[2030]]</f>
        <v>0</v>
      </c>
      <c r="K14" s="29">
        <f>Table22[[#This Row],[2031]]-Table225[[#This Row],[2031]]</f>
        <v>0</v>
      </c>
      <c r="L14" s="29">
        <f>Table22[[#This Row],[2032]]-Table225[[#This Row],[2032]]</f>
        <v>0</v>
      </c>
      <c r="M14" s="29">
        <f>Table22[[#This Row],[2033]]-Table225[[#This Row],[2033]]</f>
        <v>0</v>
      </c>
      <c r="N14" s="29">
        <f>Table22[[#This Row],[2034]]-Table225[[#This Row],[2034]]</f>
        <v>0</v>
      </c>
      <c r="O14" s="29">
        <f>Table22[[#This Row],[2025-2034 Totals]]-Table225[[#This Row],[2025-2034 Totals]]</f>
        <v>0</v>
      </c>
    </row>
    <row r="15" spans="1:16" x14ac:dyDescent="0.35">
      <c r="A15" t="s">
        <v>80</v>
      </c>
      <c r="D15" t="s">
        <v>85</v>
      </c>
      <c r="E15" s="29">
        <f>Table22[[#This Row],[2025]]-Table225[[#This Row],[2025]]</f>
        <v>0</v>
      </c>
      <c r="F15" s="29">
        <f>Table22[[#This Row],[2026]]-Table225[[#This Row],[2026]]</f>
        <v>0</v>
      </c>
      <c r="G15" s="29">
        <f>Table22[[#This Row],[2027]]-Table225[[#This Row],[2027]]</f>
        <v>0</v>
      </c>
      <c r="H15" s="29">
        <f>Table22[[#This Row],[2028]]-Table225[[#This Row],[2028]]</f>
        <v>0</v>
      </c>
      <c r="I15" s="29">
        <f>Table22[[#This Row],[2029]]-Table225[[#This Row],[2029]]</f>
        <v>0</v>
      </c>
      <c r="J15" s="29">
        <f>Table22[[#This Row],[2030]]-Table225[[#This Row],[2030]]</f>
        <v>0</v>
      </c>
      <c r="K15" s="29">
        <f>Table22[[#This Row],[2031]]-Table225[[#This Row],[2031]]</f>
        <v>0</v>
      </c>
      <c r="L15" s="29">
        <f>Table22[[#This Row],[2032]]-Table225[[#This Row],[2032]]</f>
        <v>0</v>
      </c>
      <c r="M15" s="29">
        <f>Table22[[#This Row],[2033]]-Table225[[#This Row],[2033]]</f>
        <v>0</v>
      </c>
      <c r="N15" s="29">
        <f>Table22[[#This Row],[2034]]-Table225[[#This Row],[2034]]</f>
        <v>0</v>
      </c>
      <c r="O15" s="29">
        <f>Table22[[#This Row],[2025-2034 Totals]]-Table225[[#This Row],[2025-2034 Totals]]</f>
        <v>0</v>
      </c>
    </row>
    <row r="16" spans="1:16" x14ac:dyDescent="0.35"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6" x14ac:dyDescent="0.35">
      <c r="A17" t="s">
        <v>86</v>
      </c>
      <c r="C17" t="s">
        <v>87</v>
      </c>
      <c r="D17" t="s">
        <v>88</v>
      </c>
      <c r="E17" s="29">
        <f>Table22[[#This Row],[2025]]-Table225[[#This Row],[2025]]</f>
        <v>0</v>
      </c>
      <c r="F17" s="29">
        <f>Table22[[#This Row],[2026]]-Table225[[#This Row],[2026]]</f>
        <v>0</v>
      </c>
      <c r="G17" s="29">
        <f>Table22[[#This Row],[2027]]-Table225[[#This Row],[2027]]</f>
        <v>0</v>
      </c>
      <c r="H17" s="29">
        <f>Table22[[#This Row],[2028]]-Table225[[#This Row],[2028]]</f>
        <v>0</v>
      </c>
      <c r="I17" s="29">
        <f>Table22[[#This Row],[2029]]-Table225[[#This Row],[2029]]</f>
        <v>0</v>
      </c>
      <c r="J17" s="29">
        <f>Table22[[#This Row],[2030]]-Table225[[#This Row],[2030]]</f>
        <v>0</v>
      </c>
      <c r="K17" s="29">
        <f>Table22[[#This Row],[2031]]-Table225[[#This Row],[2031]]</f>
        <v>0</v>
      </c>
      <c r="L17" s="29">
        <f>Table22[[#This Row],[2032]]-Table225[[#This Row],[2032]]</f>
        <v>0</v>
      </c>
      <c r="M17" s="29">
        <f>Table22[[#This Row],[2033]]-Table225[[#This Row],[2033]]</f>
        <v>0</v>
      </c>
      <c r="N17" s="29">
        <f>Table22[[#This Row],[2034]]-Table225[[#This Row],[2034]]</f>
        <v>0</v>
      </c>
      <c r="O17" s="29">
        <f>Table22[[#This Row],[2025-2034 Totals]]-Table225[[#This Row],[2025-2034 Totals]]</f>
        <v>0</v>
      </c>
    </row>
    <row r="18" spans="1:16" x14ac:dyDescent="0.35">
      <c r="A18" t="s">
        <v>86</v>
      </c>
      <c r="C18" t="s">
        <v>89</v>
      </c>
      <c r="D18" t="s">
        <v>90</v>
      </c>
      <c r="E18" s="29">
        <f>Table22[[#This Row],[2025]]-Table225[[#This Row],[2025]]</f>
        <v>0</v>
      </c>
      <c r="F18" s="29">
        <f>Table22[[#This Row],[2026]]-Table225[[#This Row],[2026]]</f>
        <v>0</v>
      </c>
      <c r="G18" s="29">
        <f>Table22[[#This Row],[2027]]-Table225[[#This Row],[2027]]</f>
        <v>0</v>
      </c>
      <c r="H18" s="29">
        <f>Table22[[#This Row],[2028]]-Table225[[#This Row],[2028]]</f>
        <v>0</v>
      </c>
      <c r="I18" s="29">
        <f>Table22[[#This Row],[2029]]-Table225[[#This Row],[2029]]</f>
        <v>0</v>
      </c>
      <c r="J18" s="29">
        <f>Table22[[#This Row],[2030]]-Table225[[#This Row],[2030]]</f>
        <v>0</v>
      </c>
      <c r="K18" s="29">
        <f>Table22[[#This Row],[2031]]-Table225[[#This Row],[2031]]</f>
        <v>0</v>
      </c>
      <c r="L18" s="29">
        <f>Table22[[#This Row],[2032]]-Table225[[#This Row],[2032]]</f>
        <v>0</v>
      </c>
      <c r="M18" s="29">
        <f>Table22[[#This Row],[2033]]-Table225[[#This Row],[2033]]</f>
        <v>0</v>
      </c>
      <c r="N18" s="29">
        <f>Table22[[#This Row],[2034]]-Table225[[#This Row],[2034]]</f>
        <v>0</v>
      </c>
      <c r="O18" s="29">
        <f>Table22[[#This Row],[2025-2034 Totals]]-Table225[[#This Row],[2025-2034 Totals]]</f>
        <v>0</v>
      </c>
    </row>
    <row r="19" spans="1:16" x14ac:dyDescent="0.35">
      <c r="A19" t="s">
        <v>86</v>
      </c>
      <c r="C19" t="s">
        <v>91</v>
      </c>
      <c r="D19" t="s">
        <v>92</v>
      </c>
      <c r="E19" s="29">
        <f>Table22[[#This Row],[2025]]-Table225[[#This Row],[2025]]</f>
        <v>0</v>
      </c>
      <c r="F19" s="29">
        <f>Table22[[#This Row],[2026]]-Table225[[#This Row],[2026]]</f>
        <v>0</v>
      </c>
      <c r="G19" s="29">
        <f>Table22[[#This Row],[2027]]-Table225[[#This Row],[2027]]</f>
        <v>0</v>
      </c>
      <c r="H19" s="29">
        <f>Table22[[#This Row],[2028]]-Table225[[#This Row],[2028]]</f>
        <v>0</v>
      </c>
      <c r="I19" s="29">
        <f>Table22[[#This Row],[2029]]-Table225[[#This Row],[2029]]</f>
        <v>0</v>
      </c>
      <c r="J19" s="29">
        <f>Table22[[#This Row],[2030]]-Table225[[#This Row],[2030]]</f>
        <v>0</v>
      </c>
      <c r="K19" s="29">
        <f>Table22[[#This Row],[2031]]-Table225[[#This Row],[2031]]</f>
        <v>0</v>
      </c>
      <c r="L19" s="29">
        <f>Table22[[#This Row],[2032]]-Table225[[#This Row],[2032]]</f>
        <v>0</v>
      </c>
      <c r="M19" s="29">
        <f>Table22[[#This Row],[2033]]-Table225[[#This Row],[2033]]</f>
        <v>0</v>
      </c>
      <c r="N19" s="29">
        <f>Table22[[#This Row],[2034]]-Table225[[#This Row],[2034]]</f>
        <v>0</v>
      </c>
      <c r="O19" s="29">
        <f>Table22[[#This Row],[2025-2034 Totals]]-Table225[[#This Row],[2025-2034 Totals]]</f>
        <v>0</v>
      </c>
    </row>
    <row r="20" spans="1:16" x14ac:dyDescent="0.35">
      <c r="A20" t="s">
        <v>86</v>
      </c>
      <c r="C20" t="s">
        <v>93</v>
      </c>
      <c r="D20" t="s">
        <v>94</v>
      </c>
      <c r="E20" s="29">
        <f>Table22[[#This Row],[2025]]-Table225[[#This Row],[2025]]</f>
        <v>0</v>
      </c>
      <c r="F20" s="29">
        <f>Table22[[#This Row],[2026]]-Table225[[#This Row],[2026]]</f>
        <v>0</v>
      </c>
      <c r="G20" s="29">
        <f>Table22[[#This Row],[2027]]-Table225[[#This Row],[2027]]</f>
        <v>0</v>
      </c>
      <c r="H20" s="29">
        <f>Table22[[#This Row],[2028]]-Table225[[#This Row],[2028]]</f>
        <v>0</v>
      </c>
      <c r="I20" s="29">
        <f>Table22[[#This Row],[2029]]-Table225[[#This Row],[2029]]</f>
        <v>0</v>
      </c>
      <c r="J20" s="29">
        <f>Table22[[#This Row],[2030]]-Table225[[#This Row],[2030]]</f>
        <v>0</v>
      </c>
      <c r="K20" s="29">
        <f>Table22[[#This Row],[2031]]-Table225[[#This Row],[2031]]</f>
        <v>0</v>
      </c>
      <c r="L20" s="29">
        <f>Table22[[#This Row],[2032]]-Table225[[#This Row],[2032]]</f>
        <v>0</v>
      </c>
      <c r="M20" s="29">
        <f>Table22[[#This Row],[2033]]-Table225[[#This Row],[2033]]</f>
        <v>0</v>
      </c>
      <c r="N20" s="29">
        <f>Table22[[#This Row],[2034]]-Table225[[#This Row],[2034]]</f>
        <v>0</v>
      </c>
      <c r="O20" s="29">
        <f>Table22[[#This Row],[2025-2034 Totals]]-Table225[[#This Row],[2025-2034 Totals]]</f>
        <v>0</v>
      </c>
    </row>
    <row r="21" spans="1:16" x14ac:dyDescent="0.35">
      <c r="A21" t="s">
        <v>86</v>
      </c>
      <c r="C21" t="s">
        <v>95</v>
      </c>
      <c r="D21" s="17" t="s">
        <v>96</v>
      </c>
      <c r="E21" s="29">
        <f>Table22[[#This Row],[2025]]-Table225[[#This Row],[2025]]</f>
        <v>0</v>
      </c>
      <c r="F21" s="29">
        <f>Table22[[#This Row],[2026]]-Table225[[#This Row],[2026]]</f>
        <v>0</v>
      </c>
      <c r="G21" s="29">
        <f>Table22[[#This Row],[2027]]-Table225[[#This Row],[2027]]</f>
        <v>0</v>
      </c>
      <c r="H21" s="29">
        <f>Table22[[#This Row],[2028]]-Table225[[#This Row],[2028]]</f>
        <v>0</v>
      </c>
      <c r="I21" s="29">
        <f>Table22[[#This Row],[2029]]-Table225[[#This Row],[2029]]</f>
        <v>0</v>
      </c>
      <c r="J21" s="29">
        <f>Table22[[#This Row],[2030]]-Table225[[#This Row],[2030]]</f>
        <v>0</v>
      </c>
      <c r="K21" s="29">
        <f>Table22[[#This Row],[2031]]-Table225[[#This Row],[2031]]</f>
        <v>0</v>
      </c>
      <c r="L21" s="29">
        <f>Table22[[#This Row],[2032]]-Table225[[#This Row],[2032]]</f>
        <v>0</v>
      </c>
      <c r="M21" s="29">
        <f>Table22[[#This Row],[2033]]-Table225[[#This Row],[2033]]</f>
        <v>0</v>
      </c>
      <c r="N21" s="29">
        <f>Table22[[#This Row],[2034]]-Table225[[#This Row],[2034]]</f>
        <v>0</v>
      </c>
      <c r="O21" s="29">
        <f>Table22[[#This Row],[2025-2034 Totals]]-Table225[[#This Row],[2025-2034 Totals]]</f>
        <v>0</v>
      </c>
    </row>
    <row r="22" spans="1:16" x14ac:dyDescent="0.35">
      <c r="A22" t="s">
        <v>86</v>
      </c>
      <c r="D22" t="s">
        <v>98</v>
      </c>
      <c r="E22" s="29">
        <f>Table22[[#This Row],[2025]]-Table225[[#This Row],[2025]]</f>
        <v>0</v>
      </c>
      <c r="F22" s="29">
        <f>Table22[[#This Row],[2026]]-Table225[[#This Row],[2026]]</f>
        <v>0</v>
      </c>
      <c r="G22" s="29">
        <f>Table22[[#This Row],[2027]]-Table225[[#This Row],[2027]]</f>
        <v>0</v>
      </c>
      <c r="H22" s="29">
        <f>Table22[[#This Row],[2028]]-Table225[[#This Row],[2028]]</f>
        <v>0</v>
      </c>
      <c r="I22" s="29">
        <f>Table22[[#This Row],[2029]]-Table225[[#This Row],[2029]]</f>
        <v>0</v>
      </c>
      <c r="J22" s="29">
        <f>Table22[[#This Row],[2030]]-Table225[[#This Row],[2030]]</f>
        <v>0</v>
      </c>
      <c r="K22" s="29">
        <f>Table22[[#This Row],[2031]]-Table225[[#This Row],[2031]]</f>
        <v>0</v>
      </c>
      <c r="L22" s="29">
        <f>Table22[[#This Row],[2032]]-Table225[[#This Row],[2032]]</f>
        <v>0</v>
      </c>
      <c r="M22" s="29">
        <f>Table22[[#This Row],[2033]]-Table225[[#This Row],[2033]]</f>
        <v>0</v>
      </c>
      <c r="N22" s="29">
        <f>Table22[[#This Row],[2034]]-Table225[[#This Row],[2034]]</f>
        <v>0</v>
      </c>
      <c r="O22" s="29">
        <f>Table22[[#This Row],[2025-2034 Totals]]-Table225[[#This Row],[2025-2034 Totals]]</f>
        <v>0</v>
      </c>
    </row>
    <row r="23" spans="1:16" x14ac:dyDescent="0.35"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6" x14ac:dyDescent="0.35">
      <c r="A24" t="s">
        <v>99</v>
      </c>
      <c r="B24" t="s">
        <v>202</v>
      </c>
      <c r="C24" t="s">
        <v>101</v>
      </c>
      <c r="D24" t="s">
        <v>102</v>
      </c>
      <c r="E24" s="29">
        <f>Table22[[#This Row],[2025]]-Table225[[#This Row],[2025]]</f>
        <v>0</v>
      </c>
      <c r="F24" s="29">
        <f>Table22[[#This Row],[2026]]-Table225[[#This Row],[2026]]</f>
        <v>0</v>
      </c>
      <c r="G24" s="29">
        <f>Table22[[#This Row],[2027]]-Table225[[#This Row],[2027]]</f>
        <v>0</v>
      </c>
      <c r="H24" s="29">
        <f>Table22[[#This Row],[2028]]-Table225[[#This Row],[2028]]</f>
        <v>0</v>
      </c>
      <c r="I24" s="29">
        <f>Table22[[#This Row],[2029]]-Table225[[#This Row],[2029]]</f>
        <v>0</v>
      </c>
      <c r="J24" s="29">
        <f>Table22[[#This Row],[2030]]-Table225[[#This Row],[2030]]</f>
        <v>0</v>
      </c>
      <c r="K24" s="29">
        <f>Table22[[#This Row],[2031]]-Table225[[#This Row],[2031]]</f>
        <v>0</v>
      </c>
      <c r="L24" s="29">
        <f>Table22[[#This Row],[2032]]-Table225[[#This Row],[2032]]</f>
        <v>0</v>
      </c>
      <c r="M24" s="29">
        <f>Table22[[#This Row],[2033]]-Table225[[#This Row],[2033]]</f>
        <v>0</v>
      </c>
      <c r="N24" s="29">
        <f>Table22[[#This Row],[2034]]-Table225[[#This Row],[2034]]</f>
        <v>0</v>
      </c>
      <c r="O24" s="29">
        <f>Table22[[#This Row],[2025-2034 Totals]]-Table225[[#This Row],[2025-2034 Totals]]</f>
        <v>0</v>
      </c>
    </row>
    <row r="25" spans="1:16" x14ac:dyDescent="0.35">
      <c r="A25" t="s">
        <v>99</v>
      </c>
      <c r="B25" t="s">
        <v>77</v>
      </c>
      <c r="C25" t="s">
        <v>103</v>
      </c>
      <c r="D25" t="s">
        <v>104</v>
      </c>
      <c r="E25" s="29">
        <f>Table22[[#This Row],[2025]]-Table225[[#This Row],[2025]]</f>
        <v>0</v>
      </c>
      <c r="F25" s="29">
        <f>Table22[[#This Row],[2026]]-Table225[[#This Row],[2026]]</f>
        <v>0</v>
      </c>
      <c r="G25" s="29">
        <f>Table22[[#This Row],[2027]]-Table225[[#This Row],[2027]]</f>
        <v>0</v>
      </c>
      <c r="H25" s="29">
        <f>Table22[[#This Row],[2028]]-Table225[[#This Row],[2028]]</f>
        <v>0</v>
      </c>
      <c r="I25" s="29">
        <f>Table22[[#This Row],[2029]]-Table225[[#This Row],[2029]]</f>
        <v>0</v>
      </c>
      <c r="J25" s="29">
        <f>Table22[[#This Row],[2030]]-Table225[[#This Row],[2030]]</f>
        <v>0</v>
      </c>
      <c r="K25" s="29">
        <f>Table22[[#This Row],[2031]]-Table225[[#This Row],[2031]]</f>
        <v>0</v>
      </c>
      <c r="L25" s="29">
        <f>Table22[[#This Row],[2032]]-Table225[[#This Row],[2032]]</f>
        <v>0</v>
      </c>
      <c r="M25" s="29">
        <f>Table22[[#This Row],[2033]]-Table225[[#This Row],[2033]]</f>
        <v>0</v>
      </c>
      <c r="N25" s="29">
        <f>Table22[[#This Row],[2034]]-Table225[[#This Row],[2034]]</f>
        <v>0</v>
      </c>
      <c r="O25" s="29">
        <f>Table22[[#This Row],[2025-2034 Totals]]-Table225[[#This Row],[2025-2034 Totals]]</f>
        <v>0</v>
      </c>
    </row>
    <row r="26" spans="1:16" x14ac:dyDescent="0.35">
      <c r="A26" t="s">
        <v>99</v>
      </c>
      <c r="B26" t="s">
        <v>77</v>
      </c>
      <c r="C26" t="s">
        <v>105</v>
      </c>
      <c r="D26" t="s">
        <v>106</v>
      </c>
      <c r="E26" s="29">
        <f>Table22[[#This Row],[2025]]-Table225[[#This Row],[2025]]</f>
        <v>0</v>
      </c>
      <c r="F26" s="29">
        <f>Table22[[#This Row],[2026]]-Table225[[#This Row],[2026]]</f>
        <v>0</v>
      </c>
      <c r="G26" s="29">
        <f>Table22[[#This Row],[2027]]-Table225[[#This Row],[2027]]</f>
        <v>0</v>
      </c>
      <c r="H26" s="29">
        <f>Table22[[#This Row],[2028]]-Table225[[#This Row],[2028]]</f>
        <v>0</v>
      </c>
      <c r="I26" s="29">
        <f>Table22[[#This Row],[2029]]-Table225[[#This Row],[2029]]</f>
        <v>0</v>
      </c>
      <c r="J26" s="29">
        <f>Table22[[#This Row],[2030]]-Table225[[#This Row],[2030]]</f>
        <v>0</v>
      </c>
      <c r="K26" s="29">
        <f>Table22[[#This Row],[2031]]-Table225[[#This Row],[2031]]</f>
        <v>0</v>
      </c>
      <c r="L26" s="29">
        <f>Table22[[#This Row],[2032]]-Table225[[#This Row],[2032]]</f>
        <v>0</v>
      </c>
      <c r="M26" s="29">
        <f>Table22[[#This Row],[2033]]-Table225[[#This Row],[2033]]</f>
        <v>0</v>
      </c>
      <c r="N26" s="29">
        <f>Table22[[#This Row],[2034]]-Table225[[#This Row],[2034]]</f>
        <v>0</v>
      </c>
      <c r="O26" s="29">
        <f>Table22[[#This Row],[2025-2034 Totals]]-Table225[[#This Row],[2025-2034 Totals]]</f>
        <v>0</v>
      </c>
      <c r="P26" s="15"/>
    </row>
    <row r="27" spans="1:16" x14ac:dyDescent="0.35"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15"/>
    </row>
    <row r="28" spans="1:16" x14ac:dyDescent="0.35">
      <c r="A28" t="s">
        <v>107</v>
      </c>
      <c r="B28" t="s">
        <v>77</v>
      </c>
      <c r="C28" t="s">
        <v>108</v>
      </c>
      <c r="D28" t="s">
        <v>109</v>
      </c>
      <c r="E28" s="29">
        <f>Table22[[#This Row],[2025]]-Table225[[#This Row],[2025]]</f>
        <v>0</v>
      </c>
      <c r="F28" s="29">
        <f>Table22[[#This Row],[2026]]-Table225[[#This Row],[2026]]</f>
        <v>0</v>
      </c>
      <c r="G28" s="29">
        <f>Table22[[#This Row],[2027]]-Table225[[#This Row],[2027]]</f>
        <v>0</v>
      </c>
      <c r="H28" s="29">
        <f>Table22[[#This Row],[2028]]-Table225[[#This Row],[2028]]</f>
        <v>0</v>
      </c>
      <c r="I28" s="29">
        <f>Table22[[#This Row],[2029]]-Table225[[#This Row],[2029]]</f>
        <v>0</v>
      </c>
      <c r="J28" s="29">
        <f>Table22[[#This Row],[2030]]-Table225[[#This Row],[2030]]</f>
        <v>0</v>
      </c>
      <c r="K28" s="29">
        <f>Table22[[#This Row],[2031]]-Table225[[#This Row],[2031]]</f>
        <v>0</v>
      </c>
      <c r="L28" s="29">
        <f>Table22[[#This Row],[2032]]-Table225[[#This Row],[2032]]</f>
        <v>0</v>
      </c>
      <c r="M28" s="29">
        <f>Table22[[#This Row],[2033]]-Table225[[#This Row],[2033]]</f>
        <v>0</v>
      </c>
      <c r="N28" s="29">
        <f>Table22[[#This Row],[2034]]-Table225[[#This Row],[2034]]</f>
        <v>0</v>
      </c>
      <c r="O28" s="29">
        <f>Table22[[#This Row],[2025-2034 Totals]]-Table225[[#This Row],[2025-2034 Totals]]</f>
        <v>0</v>
      </c>
    </row>
    <row r="29" spans="1:16" x14ac:dyDescent="0.35"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6" x14ac:dyDescent="0.35">
      <c r="A30" t="s">
        <v>110</v>
      </c>
      <c r="B30" t="s">
        <v>111</v>
      </c>
      <c r="C30" t="s">
        <v>112</v>
      </c>
      <c r="D30" t="s">
        <v>203</v>
      </c>
      <c r="E30" s="29">
        <f>Table22[[#This Row],[2025]]-Table225[[#This Row],[2025]]</f>
        <v>0</v>
      </c>
      <c r="F30" s="29">
        <f>Table22[[#This Row],[2026]]-Table225[[#This Row],[2026]]</f>
        <v>-599</v>
      </c>
      <c r="G30" s="29">
        <f>Table22[[#This Row],[2027]]-Table225[[#This Row],[2027]]</f>
        <v>-17294</v>
      </c>
      <c r="H30" s="29">
        <f>Table22[[#This Row],[2028]]-Table225[[#This Row],[2028]]</f>
        <v>-17684</v>
      </c>
      <c r="I30" s="29">
        <f>Table22[[#This Row],[2029]]-Table225[[#This Row],[2029]]</f>
        <v>-18633</v>
      </c>
      <c r="J30" s="29">
        <f>Table22[[#This Row],[2030]]-Table225[[#This Row],[2030]]</f>
        <v>-18580</v>
      </c>
      <c r="K30" s="29">
        <f>Table22[[#This Row],[2031]]-Table225[[#This Row],[2031]]</f>
        <v>-19361</v>
      </c>
      <c r="L30" s="29">
        <f>Table22[[#This Row],[2032]]-Table225[[#This Row],[2032]]</f>
        <v>-19395</v>
      </c>
      <c r="M30" s="29">
        <f>Table22[[#This Row],[2033]]-Table225[[#This Row],[2033]]</f>
        <v>-21051</v>
      </c>
      <c r="N30" s="29">
        <f>Table22[[#This Row],[2034]]-Table225[[#This Row],[2034]]</f>
        <v>-20746</v>
      </c>
      <c r="O30" s="29">
        <f>Table22[[#This Row],[2025-2034 Totals]]-Table225[[#This Row],[2025-2034 Totals]]</f>
        <v>-153345</v>
      </c>
    </row>
    <row r="31" spans="1:16" x14ac:dyDescent="0.35">
      <c r="A31" t="s">
        <v>110</v>
      </c>
      <c r="B31" t="s">
        <v>111</v>
      </c>
      <c r="C31" t="s">
        <v>116</v>
      </c>
      <c r="D31" t="s">
        <v>117</v>
      </c>
      <c r="E31" s="29">
        <f>Table22[[#This Row],[2025]]-Table225[[#This Row],[2025]]</f>
        <v>-644</v>
      </c>
      <c r="F31" s="29">
        <f>Table22[[#This Row],[2026]]-Table225[[#This Row],[2026]]</f>
        <v>-4553</v>
      </c>
      <c r="G31" s="29">
        <f>Table22[[#This Row],[2027]]-Table225[[#This Row],[2027]]</f>
        <v>-2075</v>
      </c>
      <c r="H31" s="29">
        <f>Table22[[#This Row],[2028]]-Table225[[#This Row],[2028]]</f>
        <v>-2022</v>
      </c>
      <c r="I31" s="29">
        <f>Table22[[#This Row],[2029]]-Table225[[#This Row],[2029]]</f>
        <v>2548</v>
      </c>
      <c r="J31" s="29">
        <f>Table22[[#This Row],[2030]]-Table225[[#This Row],[2030]]</f>
        <v>2683</v>
      </c>
      <c r="K31" s="29">
        <f>Table22[[#This Row],[2031]]-Table225[[#This Row],[2031]]</f>
        <v>3998</v>
      </c>
      <c r="L31" s="29">
        <f>Table22[[#This Row],[2032]]-Table225[[#This Row],[2032]]</f>
        <v>3928</v>
      </c>
      <c r="M31" s="29">
        <f>Table22[[#This Row],[2033]]-Table225[[#This Row],[2033]]</f>
        <v>5401</v>
      </c>
      <c r="N31" s="29">
        <f>Table22[[#This Row],[2034]]-Table225[[#This Row],[2034]]</f>
        <v>5358</v>
      </c>
      <c r="O31" s="29">
        <f>Table22[[#This Row],[2025-2034 Totals]]-Table225[[#This Row],[2025-2034 Totals]]</f>
        <v>14622</v>
      </c>
    </row>
    <row r="32" spans="1:16" x14ac:dyDescent="0.35">
      <c r="A32" t="s">
        <v>110</v>
      </c>
      <c r="B32" t="s">
        <v>111</v>
      </c>
      <c r="C32" t="s">
        <v>118</v>
      </c>
      <c r="D32" t="s">
        <v>119</v>
      </c>
      <c r="E32" s="29">
        <f>Table22[[#This Row],[2025]]-Table225[[#This Row],[2025]]</f>
        <v>-185</v>
      </c>
      <c r="F32" s="29">
        <f>Table22[[#This Row],[2026]]-Table225[[#This Row],[2026]]</f>
        <v>-222</v>
      </c>
      <c r="G32" s="29">
        <f>Table22[[#This Row],[2027]]-Table225[[#This Row],[2027]]</f>
        <v>-749</v>
      </c>
      <c r="H32" s="29">
        <f>Table22[[#This Row],[2028]]-Table225[[#This Row],[2028]]</f>
        <v>-726</v>
      </c>
      <c r="I32" s="29">
        <f>Table22[[#This Row],[2029]]-Table225[[#This Row],[2029]]</f>
        <v>-580</v>
      </c>
      <c r="J32" s="29">
        <f>Table22[[#This Row],[2030]]-Table225[[#This Row],[2030]]</f>
        <v>-622</v>
      </c>
      <c r="K32" s="29">
        <f>Table22[[#This Row],[2031]]-Table225[[#This Row],[2031]]</f>
        <v>-742</v>
      </c>
      <c r="L32" s="29">
        <f>Table22[[#This Row],[2032]]-Table225[[#This Row],[2032]]</f>
        <v>-567</v>
      </c>
      <c r="M32" s="29">
        <f>Table22[[#This Row],[2033]]-Table225[[#This Row],[2033]]</f>
        <v>-573</v>
      </c>
      <c r="N32" s="29">
        <f>Table22[[#This Row],[2034]]-Table225[[#This Row],[2034]]</f>
        <v>-570</v>
      </c>
      <c r="O32" s="29">
        <f>Table22[[#This Row],[2025-2034 Totals]]-Table225[[#This Row],[2025-2034 Totals]]</f>
        <v>-5537</v>
      </c>
    </row>
    <row r="33" spans="1:16" x14ac:dyDescent="0.35">
      <c r="A33" t="s">
        <v>110</v>
      </c>
      <c r="B33" t="s">
        <v>111</v>
      </c>
      <c r="C33" t="s">
        <v>120</v>
      </c>
      <c r="D33" t="s">
        <v>121</v>
      </c>
      <c r="E33" s="29">
        <f>Table22[[#This Row],[2025]]-Table225[[#This Row],[2025]]</f>
        <v>792</v>
      </c>
      <c r="F33" s="29">
        <f>Table22[[#This Row],[2026]]-Table225[[#This Row],[2026]]</f>
        <v>6610</v>
      </c>
      <c r="G33" s="29">
        <f>Table22[[#This Row],[2027]]-Table225[[#This Row],[2027]]</f>
        <v>3651</v>
      </c>
      <c r="H33" s="29">
        <f>Table22[[#This Row],[2028]]-Table225[[#This Row],[2028]]</f>
        <v>3737</v>
      </c>
      <c r="I33" s="29">
        <f>Table22[[#This Row],[2029]]-Table225[[#This Row],[2029]]</f>
        <v>102</v>
      </c>
      <c r="J33" s="29">
        <f>Table22[[#This Row],[2030]]-Table225[[#This Row],[2030]]</f>
        <v>106</v>
      </c>
      <c r="K33" s="29">
        <f>Table22[[#This Row],[2031]]-Table225[[#This Row],[2031]]</f>
        <v>111</v>
      </c>
      <c r="L33" s="29">
        <f>Table22[[#This Row],[2032]]-Table225[[#This Row],[2032]]</f>
        <v>-133</v>
      </c>
      <c r="M33" s="29">
        <f>Table22[[#This Row],[2033]]-Table225[[#This Row],[2033]]</f>
        <v>-133</v>
      </c>
      <c r="N33" s="29">
        <f>Table22[[#This Row],[2034]]-Table225[[#This Row],[2034]]</f>
        <v>-138</v>
      </c>
      <c r="O33" s="29">
        <f>Table22[[#This Row],[2025-2034 Totals]]-Table225[[#This Row],[2025-2034 Totals]]</f>
        <v>14705</v>
      </c>
    </row>
    <row r="34" spans="1:16" x14ac:dyDescent="0.35">
      <c r="A34" t="s">
        <v>110</v>
      </c>
      <c r="B34" t="s">
        <v>111</v>
      </c>
      <c r="C34" t="s">
        <v>123</v>
      </c>
      <c r="D34" t="s">
        <v>124</v>
      </c>
      <c r="E34" s="29">
        <f>Table22[[#This Row],[2025]]-Table225[[#This Row],[2025]]</f>
        <v>212</v>
      </c>
      <c r="F34" s="29">
        <f>Table22[[#This Row],[2026]]-Table225[[#This Row],[2026]]</f>
        <v>1428</v>
      </c>
      <c r="G34" s="29">
        <f>Table22[[#This Row],[2027]]-Table225[[#This Row],[2027]]</f>
        <v>3575</v>
      </c>
      <c r="H34" s="29">
        <f>Table22[[#This Row],[2028]]-Table225[[#This Row],[2028]]</f>
        <v>7710</v>
      </c>
      <c r="I34" s="29">
        <f>Table22[[#This Row],[2029]]-Table225[[#This Row],[2029]]</f>
        <v>12085</v>
      </c>
      <c r="J34" s="29">
        <f>Table22[[#This Row],[2030]]-Table225[[#This Row],[2030]]</f>
        <v>14440</v>
      </c>
      <c r="K34" s="29">
        <f>Table22[[#This Row],[2031]]-Table225[[#This Row],[2031]]</f>
        <v>16314</v>
      </c>
      <c r="L34" s="29">
        <f>Table22[[#This Row],[2032]]-Table225[[#This Row],[2032]]</f>
        <v>18533</v>
      </c>
      <c r="M34" s="29">
        <f>Table22[[#This Row],[2033]]-Table225[[#This Row],[2033]]</f>
        <v>1343</v>
      </c>
      <c r="N34" s="29">
        <f>Table22[[#This Row],[2034]]-Table225[[#This Row],[2034]]</f>
        <v>2253</v>
      </c>
      <c r="O34" s="29">
        <f>Table22[[#This Row],[2025-2034 Totals]]-Table225[[#This Row],[2025-2034 Totals]]</f>
        <v>77893</v>
      </c>
    </row>
    <row r="35" spans="1:16" x14ac:dyDescent="0.35">
      <c r="A35" t="s">
        <v>110</v>
      </c>
      <c r="B35" t="s">
        <v>125</v>
      </c>
      <c r="C35" t="s">
        <v>125</v>
      </c>
      <c r="D35" t="s">
        <v>204</v>
      </c>
      <c r="E35" s="29">
        <f>Table22[[#This Row],[2025]]-Table225[[#This Row],[2025]]</f>
        <v>774</v>
      </c>
      <c r="F35" s="29">
        <f>Table22[[#This Row],[2026]]-Table225[[#This Row],[2026]]</f>
        <v>21831</v>
      </c>
      <c r="G35" s="29">
        <f>Table22[[#This Row],[2027]]-Table225[[#This Row],[2027]]</f>
        <v>54297</v>
      </c>
      <c r="H35" s="29">
        <f>Table22[[#This Row],[2028]]-Table225[[#This Row],[2028]]</f>
        <v>73065</v>
      </c>
      <c r="I35" s="29">
        <f>Table22[[#This Row],[2029]]-Table225[[#This Row],[2029]]</f>
        <v>106310</v>
      </c>
      <c r="J35" s="29">
        <f>Table22[[#This Row],[2030]]-Table225[[#This Row],[2030]]</f>
        <v>127013</v>
      </c>
      <c r="K35" s="29">
        <f>Table22[[#This Row],[2031]]-Table225[[#This Row],[2031]]</f>
        <v>146154</v>
      </c>
      <c r="L35" s="29">
        <f>Table22[[#This Row],[2032]]-Table225[[#This Row],[2032]]</f>
        <v>156696</v>
      </c>
      <c r="M35" s="29">
        <f>Table22[[#This Row],[2033]]-Table225[[#This Row],[2033]]</f>
        <v>170349</v>
      </c>
      <c r="N35" s="29">
        <f>Table22[[#This Row],[2034]]-Table225[[#This Row],[2034]]</f>
        <v>186421</v>
      </c>
      <c r="O35" s="29">
        <f>Table22[[#This Row],[2025-2034 Totals]]-Table225[[#This Row],[2025-2034 Totals]]</f>
        <v>1042910</v>
      </c>
    </row>
    <row r="36" spans="1:16" s="31" customFormat="1" x14ac:dyDescent="0.35">
      <c r="A36" s="31" t="s">
        <v>110</v>
      </c>
      <c r="B36" s="31" t="s">
        <v>130</v>
      </c>
      <c r="C36" s="31" t="s">
        <v>130</v>
      </c>
      <c r="D36" s="31" t="s">
        <v>131</v>
      </c>
      <c r="E36" s="29">
        <f>Table22[[#This Row],[2025]]-Table225[[#This Row],[2025]]</f>
        <v>-28</v>
      </c>
      <c r="F36" s="29">
        <f>Table22[[#This Row],[2026]]-Table225[[#This Row],[2026]]</f>
        <v>-2241</v>
      </c>
      <c r="G36" s="29">
        <f>Table22[[#This Row],[2027]]-Table225[[#This Row],[2027]]</f>
        <v>-3483</v>
      </c>
      <c r="H36" s="29">
        <f>Table22[[#This Row],[2028]]-Table225[[#This Row],[2028]]</f>
        <v>-7494</v>
      </c>
      <c r="I36" s="29">
        <f>Table22[[#This Row],[2029]]-Table225[[#This Row],[2029]]</f>
        <v>-11932</v>
      </c>
      <c r="J36" s="29">
        <f>Table22[[#This Row],[2030]]-Table225[[#This Row],[2030]]</f>
        <v>-14170</v>
      </c>
      <c r="K36" s="29">
        <f>Table22[[#This Row],[2031]]-Table225[[#This Row],[2031]]</f>
        <v>-15926</v>
      </c>
      <c r="L36" s="29">
        <f>Table22[[#This Row],[2032]]-Table225[[#This Row],[2032]]</f>
        <v>-18098</v>
      </c>
      <c r="M36" s="29">
        <f>Table22[[#This Row],[2033]]-Table225[[#This Row],[2033]]</f>
        <v>-689</v>
      </c>
      <c r="N36" s="29">
        <f>Table22[[#This Row],[2034]]-Table225[[#This Row],[2034]]</f>
        <v>-627</v>
      </c>
      <c r="O36" s="29">
        <f>Table22[[#This Row],[2025-2034 Totals]]-Table225[[#This Row],[2025-2034 Totals]]</f>
        <v>-74690</v>
      </c>
    </row>
    <row r="37" spans="1:16" x14ac:dyDescent="0.35">
      <c r="A37" t="s">
        <v>110</v>
      </c>
      <c r="B37" t="s">
        <v>100</v>
      </c>
      <c r="C37" t="s">
        <v>132</v>
      </c>
      <c r="D37" t="s">
        <v>205</v>
      </c>
      <c r="E37" s="29">
        <f>Table22[[#This Row],[2025]]-Table225[[#This Row],[2025]]</f>
        <v>-760</v>
      </c>
      <c r="F37" s="29">
        <f>Table22[[#This Row],[2026]]-Table225[[#This Row],[2026]]</f>
        <v>-4774</v>
      </c>
      <c r="G37" s="29">
        <f>Table22[[#This Row],[2027]]-Table225[[#This Row],[2027]]</f>
        <v>-5668</v>
      </c>
      <c r="H37" s="29">
        <f>Table22[[#This Row],[2028]]-Table225[[#This Row],[2028]]</f>
        <v>-2716</v>
      </c>
      <c r="I37" s="29">
        <f>Table22[[#This Row],[2029]]-Table225[[#This Row],[2029]]</f>
        <v>-1013</v>
      </c>
      <c r="J37" s="29">
        <f>Table22[[#This Row],[2030]]-Table225[[#This Row],[2030]]</f>
        <v>-1829</v>
      </c>
      <c r="K37" s="29">
        <f>Table22[[#This Row],[2031]]-Table225[[#This Row],[2031]]</f>
        <v>-5188</v>
      </c>
      <c r="L37" s="29">
        <f>Table22[[#This Row],[2032]]-Table225[[#This Row],[2032]]</f>
        <v>-1670</v>
      </c>
      <c r="M37" s="29">
        <f>Table22[[#This Row],[2033]]-Table225[[#This Row],[2033]]</f>
        <v>-2068</v>
      </c>
      <c r="N37" s="29">
        <f>Table22[[#This Row],[2034]]-Table225[[#This Row],[2034]]</f>
        <v>-4814</v>
      </c>
      <c r="O37" s="29">
        <f>Table22[[#This Row],[2025-2034 Totals]]-Table225[[#This Row],[2025-2034 Totals]]</f>
        <v>-30502</v>
      </c>
    </row>
    <row r="38" spans="1:16" s="31" customFormat="1" x14ac:dyDescent="0.35">
      <c r="A38" t="s">
        <v>110</v>
      </c>
      <c r="B38" s="31" t="s">
        <v>77</v>
      </c>
      <c r="C38" s="31" t="s">
        <v>134</v>
      </c>
      <c r="D38" s="39" t="s">
        <v>135</v>
      </c>
      <c r="E38" s="29">
        <f>Table22[[#This Row],[2025]]-Table225[[#This Row],[2025]]</f>
        <v>0</v>
      </c>
      <c r="F38" s="29">
        <f>Table22[[#This Row],[2026]]-Table225[[#This Row],[2026]]</f>
        <v>0</v>
      </c>
      <c r="G38" s="29">
        <f>Table22[[#This Row],[2027]]-Table225[[#This Row],[2027]]</f>
        <v>-2460</v>
      </c>
      <c r="H38" s="29">
        <f>Table22[[#This Row],[2028]]-Table225[[#This Row],[2028]]</f>
        <v>-3584</v>
      </c>
      <c r="I38" s="29">
        <f>Table22[[#This Row],[2029]]-Table225[[#This Row],[2029]]</f>
        <v>-8000</v>
      </c>
      <c r="J38" s="29">
        <f>Table22[[#This Row],[2030]]-Table225[[#This Row],[2030]]</f>
        <v>-10161</v>
      </c>
      <c r="K38" s="29">
        <f>Table22[[#This Row],[2031]]-Table225[[#This Row],[2031]]</f>
        <v>-8373</v>
      </c>
      <c r="L38" s="29">
        <f>Table22[[#This Row],[2032]]-Table225[[#This Row],[2032]]</f>
        <v>-7581</v>
      </c>
      <c r="M38" s="29">
        <f>Table22[[#This Row],[2033]]-Table225[[#This Row],[2033]]</f>
        <v>-6192</v>
      </c>
      <c r="N38" s="29">
        <f>Table22[[#This Row],[2034]]-Table225[[#This Row],[2034]]</f>
        <v>-5001</v>
      </c>
      <c r="O38" s="29">
        <f>Table22[[#This Row],[2025-2034 Totals]]-Table225[[#This Row],[2025-2034 Totals]]</f>
        <v>-51352</v>
      </c>
    </row>
    <row r="39" spans="1:16" x14ac:dyDescent="0.35"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15"/>
    </row>
    <row r="40" spans="1:16" x14ac:dyDescent="0.35">
      <c r="A40" t="s">
        <v>136</v>
      </c>
      <c r="B40" t="s">
        <v>137</v>
      </c>
      <c r="C40" t="s">
        <v>138</v>
      </c>
      <c r="D40" t="s">
        <v>139</v>
      </c>
      <c r="E40" s="29">
        <f>Table22[[#This Row],[2025]]-Table225[[#This Row],[2025]]</f>
        <v>153490</v>
      </c>
      <c r="F40" s="29">
        <f>Table22[[#This Row],[2026]]-Table225[[#This Row],[2026]]</f>
        <v>11580</v>
      </c>
      <c r="G40" s="29">
        <f>Table22[[#This Row],[2027]]-Table225[[#This Row],[2027]]</f>
        <v>8569</v>
      </c>
      <c r="H40" s="29">
        <f>Table22[[#This Row],[2028]]-Table225[[#This Row],[2028]]</f>
        <v>18036</v>
      </c>
      <c r="I40" s="29">
        <f>Table22[[#This Row],[2029]]-Table225[[#This Row],[2029]]</f>
        <v>19887</v>
      </c>
      <c r="J40" s="29">
        <f>Table22[[#This Row],[2030]]-Table225[[#This Row],[2030]]</f>
        <v>20912</v>
      </c>
      <c r="K40" s="29">
        <f>Table22[[#This Row],[2031]]-Table225[[#This Row],[2031]]</f>
        <v>21383</v>
      </c>
      <c r="L40" s="29">
        <f>Table22[[#This Row],[2032]]-Table225[[#This Row],[2032]]</f>
        <v>21773</v>
      </c>
      <c r="M40" s="29">
        <f>Table22[[#This Row],[2033]]-Table225[[#This Row],[2033]]</f>
        <v>22133</v>
      </c>
      <c r="N40" s="29">
        <f>Table22[[#This Row],[2034]]-Table225[[#This Row],[2034]]</f>
        <v>22374</v>
      </c>
      <c r="O40" s="29">
        <f>Table22[[#This Row],[2025-2034 Totals]]-Table225[[#This Row],[2025-2034 Totals]]</f>
        <v>320137</v>
      </c>
    </row>
    <row r="41" spans="1:16" x14ac:dyDescent="0.35"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spans="1:16" s="31" customFormat="1" x14ac:dyDescent="0.35">
      <c r="A42" s="31" t="s">
        <v>142</v>
      </c>
      <c r="B42" s="31" t="s">
        <v>77</v>
      </c>
      <c r="C42" s="31" t="s">
        <v>143</v>
      </c>
      <c r="D42" s="39" t="s">
        <v>144</v>
      </c>
      <c r="E42" s="29">
        <f>Table22[[#This Row],[2025]]-Table225[[#This Row],[2025]]</f>
        <v>0</v>
      </c>
      <c r="F42" s="29">
        <f>Table22[[#This Row],[2026]]-Table225[[#This Row],[2026]]</f>
        <v>-14411</v>
      </c>
      <c r="G42" s="29">
        <f>Table22[[#This Row],[2027]]-Table225[[#This Row],[2027]]</f>
        <v>-33754</v>
      </c>
      <c r="H42" s="29">
        <f>Table22[[#This Row],[2028]]-Table225[[#This Row],[2028]]</f>
        <v>-48514</v>
      </c>
      <c r="I42" s="29">
        <f>Table22[[#This Row],[2029]]-Table225[[#This Row],[2029]]</f>
        <v>-51606</v>
      </c>
      <c r="J42" s="29">
        <f>Table22[[#This Row],[2030]]-Table225[[#This Row],[2030]]</f>
        <v>-47067</v>
      </c>
      <c r="K42" s="29">
        <f>Table22[[#This Row],[2031]]-Table225[[#This Row],[2031]]</f>
        <v>-42621</v>
      </c>
      <c r="L42" s="29">
        <f>Table22[[#This Row],[2032]]-Table225[[#This Row],[2032]]</f>
        <v>-38287</v>
      </c>
      <c r="M42" s="29">
        <f>Table22[[#This Row],[2033]]-Table225[[#This Row],[2033]]</f>
        <v>-34277</v>
      </c>
      <c r="N42" s="29">
        <f>Table22[[#This Row],[2034]]-Table225[[#This Row],[2034]]</f>
        <v>-33168</v>
      </c>
      <c r="O42" s="29">
        <f>Table22[[#This Row],[2025-2034 Totals]]-Table225[[#This Row],[2025-2034 Totals]]</f>
        <v>-343703</v>
      </c>
    </row>
    <row r="43" spans="1:16" s="31" customFormat="1" x14ac:dyDescent="0.35">
      <c r="A43" s="31" t="s">
        <v>142</v>
      </c>
      <c r="B43" s="31" t="s">
        <v>77</v>
      </c>
      <c r="C43" s="31" t="s">
        <v>145</v>
      </c>
      <c r="D43" s="39" t="s">
        <v>146</v>
      </c>
      <c r="E43" s="29">
        <f>Table22[[#This Row],[2025]]-Table225[[#This Row],[2025]]</f>
        <v>-5</v>
      </c>
      <c r="F43" s="29">
        <f>Table22[[#This Row],[2026]]-Table225[[#This Row],[2026]]</f>
        <v>-33</v>
      </c>
      <c r="G43" s="29">
        <f>Table22[[#This Row],[2027]]-Table225[[#This Row],[2027]]</f>
        <v>24</v>
      </c>
      <c r="H43" s="29">
        <f>Table22[[#This Row],[2028]]-Table225[[#This Row],[2028]]</f>
        <v>574</v>
      </c>
      <c r="I43" s="29">
        <f>Table22[[#This Row],[2029]]-Table225[[#This Row],[2029]]</f>
        <v>4889</v>
      </c>
      <c r="J43" s="29">
        <f>Table22[[#This Row],[2030]]-Table225[[#This Row],[2030]]</f>
        <v>6957</v>
      </c>
      <c r="K43" s="29">
        <f>Table22[[#This Row],[2031]]-Table225[[#This Row],[2031]]</f>
        <v>5038</v>
      </c>
      <c r="L43" s="29">
        <f>Table22[[#This Row],[2032]]-Table225[[#This Row],[2032]]</f>
        <v>4055</v>
      </c>
      <c r="M43" s="29">
        <f>Table22[[#This Row],[2033]]-Table225[[#This Row],[2033]]</f>
        <v>2448</v>
      </c>
      <c r="N43" s="29">
        <f>Table22[[#This Row],[2034]]-Table225[[#This Row],[2034]]</f>
        <v>1028</v>
      </c>
      <c r="O43" s="29">
        <f>Table22[[#This Row],[2025-2034 Totals]]-Table225[[#This Row],[2025-2034 Totals]]</f>
        <v>24975</v>
      </c>
    </row>
    <row r="44" spans="1:16" s="31" customFormat="1" x14ac:dyDescent="0.35">
      <c r="D44" s="3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spans="1:16" x14ac:dyDescent="0.35">
      <c r="A45" s="31" t="s">
        <v>147</v>
      </c>
      <c r="B45" t="s">
        <v>77</v>
      </c>
      <c r="C45" t="s">
        <v>148</v>
      </c>
      <c r="D45" t="s">
        <v>149</v>
      </c>
      <c r="E45" s="29">
        <f>Table22[[#This Row],[2025]]-Table225[[#This Row],[2025]]</f>
        <v>-153490</v>
      </c>
      <c r="F45" s="29">
        <f>Table22[[#This Row],[2026]]-Table225[[#This Row],[2026]]</f>
        <v>-15395</v>
      </c>
      <c r="G45" s="29">
        <f>Table22[[#This Row],[2027]]-Table225[[#This Row],[2027]]</f>
        <v>-14525</v>
      </c>
      <c r="H45" s="29">
        <f>Table22[[#This Row],[2028]]-Table225[[#This Row],[2028]]</f>
        <v>-26117</v>
      </c>
      <c r="I45" s="29">
        <f>Table22[[#This Row],[2029]]-Table225[[#This Row],[2029]]</f>
        <v>-29195</v>
      </c>
      <c r="J45" s="29">
        <f>Table22[[#This Row],[2030]]-Table225[[#This Row],[2030]]</f>
        <v>-29921</v>
      </c>
      <c r="K45" s="29">
        <f>Table22[[#This Row],[2031]]-Table225[[#This Row],[2031]]</f>
        <v>-26764</v>
      </c>
      <c r="L45" s="29">
        <f>Table22[[#This Row],[2032]]-Table225[[#This Row],[2032]]</f>
        <v>-25224</v>
      </c>
      <c r="M45" s="29">
        <f>Table22[[#This Row],[2033]]-Table225[[#This Row],[2033]]</f>
        <v>-22390</v>
      </c>
      <c r="N45" s="29">
        <f>Table22[[#This Row],[2034]]-Table225[[#This Row],[2034]]</f>
        <v>-22543</v>
      </c>
      <c r="O45" s="29">
        <f>Table22[[#This Row],[2025-2034 Totals]]-Table225[[#This Row],[2025-2034 Totals]]</f>
        <v>-365564</v>
      </c>
    </row>
    <row r="46" spans="1:16" x14ac:dyDescent="0.35">
      <c r="A46" s="31" t="s">
        <v>147</v>
      </c>
      <c r="B46" t="s">
        <v>77</v>
      </c>
      <c r="C46" t="s">
        <v>150</v>
      </c>
      <c r="D46" t="s">
        <v>151</v>
      </c>
      <c r="E46" s="29">
        <f>Table22[[#This Row],[2025]]-Table225[[#This Row],[2025]]</f>
        <v>0</v>
      </c>
      <c r="F46" s="29">
        <f>Table22[[#This Row],[2026]]-Table225[[#This Row],[2026]]</f>
        <v>-350</v>
      </c>
      <c r="G46" s="29">
        <f>Table22[[#This Row],[2027]]-Table225[[#This Row],[2027]]</f>
        <v>-1075</v>
      </c>
      <c r="H46" s="29">
        <f>Table22[[#This Row],[2028]]-Table225[[#This Row],[2028]]</f>
        <v>-2150</v>
      </c>
      <c r="I46" s="29">
        <f>Table22[[#This Row],[2029]]-Table225[[#This Row],[2029]]</f>
        <v>-2850</v>
      </c>
      <c r="J46" s="29">
        <f>Table22[[#This Row],[2030]]-Table225[[#This Row],[2030]]</f>
        <v>-900</v>
      </c>
      <c r="K46" s="29">
        <f>Table22[[#This Row],[2031]]-Table225[[#This Row],[2031]]</f>
        <v>-100</v>
      </c>
      <c r="L46" s="29">
        <f>Table22[[#This Row],[2032]]-Table225[[#This Row],[2032]]</f>
        <v>-100</v>
      </c>
      <c r="M46" s="29">
        <f>Table22[[#This Row],[2033]]-Table225[[#This Row],[2033]]</f>
        <v>-100</v>
      </c>
      <c r="N46" s="29">
        <f>Table22[[#This Row],[2034]]-Table225[[#This Row],[2034]]</f>
        <v>-100</v>
      </c>
      <c r="O46" s="29">
        <f>Table22[[#This Row],[2025-2034 Totals]]-Table225[[#This Row],[2025-2034 Totals]]</f>
        <v>-7725</v>
      </c>
    </row>
    <row r="47" spans="1:16" x14ac:dyDescent="0.35">
      <c r="A47" s="31" t="s">
        <v>147</v>
      </c>
      <c r="B47" t="s">
        <v>152</v>
      </c>
      <c r="C47" t="s">
        <v>153</v>
      </c>
      <c r="D47" t="s">
        <v>154</v>
      </c>
      <c r="E47" s="29">
        <f>Table22[[#This Row],[2025]]-Table225[[#This Row],[2025]]</f>
        <v>0</v>
      </c>
      <c r="F47" s="29">
        <f>Table22[[#This Row],[2026]]-Table225[[#This Row],[2026]]</f>
        <v>10064</v>
      </c>
      <c r="G47" s="29">
        <f>Table22[[#This Row],[2027]]-Table225[[#This Row],[2027]]</f>
        <v>19064</v>
      </c>
      <c r="H47" s="29">
        <f>Table22[[#This Row],[2028]]-Table225[[#This Row],[2028]]</f>
        <v>26171</v>
      </c>
      <c r="I47" s="29">
        <f>Table22[[#This Row],[2029]]-Table225[[#This Row],[2029]]</f>
        <v>26331</v>
      </c>
      <c r="J47" s="29">
        <f>Table22[[#This Row],[2030]]-Table225[[#This Row],[2030]]</f>
        <v>21279</v>
      </c>
      <c r="K47" s="29">
        <f>Table22[[#This Row],[2031]]-Table225[[#This Row],[2031]]</f>
        <v>15914</v>
      </c>
      <c r="L47" s="29">
        <f>Table22[[#This Row],[2032]]-Table225[[#This Row],[2032]]</f>
        <v>10530</v>
      </c>
      <c r="M47" s="29">
        <f>Table22[[#This Row],[2033]]-Table225[[#This Row],[2033]]</f>
        <v>5421</v>
      </c>
      <c r="N47" s="29">
        <f>Table22[[#This Row],[2034]]-Table225[[#This Row],[2034]]</f>
        <v>3057</v>
      </c>
      <c r="O47" s="29">
        <f>Table22[[#This Row],[2025-2034 Totals]]-Table225[[#This Row],[2025-2034 Totals]]</f>
        <v>137831</v>
      </c>
    </row>
    <row r="48" spans="1:16" x14ac:dyDescent="0.35">
      <c r="A48" s="31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3:15" x14ac:dyDescent="0.35">
      <c r="C49" s="41" t="s">
        <v>155</v>
      </c>
      <c r="D49" s="24"/>
      <c r="E49" s="104">
        <f>Table22[[#This Row],[2025]]-Table225[[#This Row],[2025]]</f>
        <v>152361</v>
      </c>
      <c r="F49" s="104">
        <f>Table22[[#This Row],[2026]]-Table225[[#This Row],[2026]]</f>
        <v>-19365</v>
      </c>
      <c r="G49" s="104">
        <f>Table22[[#This Row],[2027]]-Table225[[#This Row],[2027]]</f>
        <v>-3755</v>
      </c>
      <c r="H49" s="104">
        <f>Table22[[#This Row],[2028]]-Table225[[#This Row],[2028]]</f>
        <v>50374</v>
      </c>
      <c r="I49" s="104">
        <f>Table22[[#This Row],[2029]]-Table225[[#This Row],[2029]]</f>
        <v>99825</v>
      </c>
      <c r="J49" s="104">
        <f>Table22[[#This Row],[2030]]-Table225[[#This Row],[2030]]</f>
        <v>147432</v>
      </c>
      <c r="K49" s="104">
        <f>Table22[[#This Row],[2031]]-Table225[[#This Row],[2031]]</f>
        <v>193959</v>
      </c>
      <c r="L49" s="104">
        <f>Table22[[#This Row],[2032]]-Table225[[#This Row],[2032]]</f>
        <v>224142</v>
      </c>
      <c r="M49" s="104">
        <f>Table22[[#This Row],[2033]]-Table225[[#This Row],[2033]]</f>
        <v>226532</v>
      </c>
      <c r="N49" s="104">
        <f>Table22[[#This Row],[2034]]-Table225[[#This Row],[2034]]</f>
        <v>242625</v>
      </c>
      <c r="O49" s="104">
        <f>Table22[[#This Row],[2025-2034 Totals]]-Table225[[#This Row],[2025-2034 Totals]]</f>
        <v>1314124</v>
      </c>
    </row>
  </sheetData>
  <mergeCells count="1">
    <mergeCell ref="E1:O1"/>
  </mergeCells>
  <hyperlinks>
    <hyperlink ref="P3" r:id="rId1" xr:uid="{96A60FD1-75B3-43D0-B25D-1F071D6DB9D5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D1F8-F13B-4DE8-B9C9-54DD5B9A8D37}">
  <dimension ref="A2:O32"/>
  <sheetViews>
    <sheetView zoomScale="84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E21" sqref="E21"/>
    </sheetView>
  </sheetViews>
  <sheetFormatPr defaultRowHeight="14.5" x14ac:dyDescent="0.35"/>
  <cols>
    <col min="3" max="3" width="34.1796875" bestFit="1" customWidth="1"/>
  </cols>
  <sheetData>
    <row r="2" spans="1:15" x14ac:dyDescent="0.35">
      <c r="A2" s="115" t="s">
        <v>271</v>
      </c>
      <c r="B2" s="115"/>
      <c r="C2" s="115"/>
      <c r="D2" s="115"/>
      <c r="E2" s="115"/>
      <c r="F2" s="115"/>
      <c r="G2" s="115"/>
      <c r="H2" s="43"/>
      <c r="I2" s="43"/>
      <c r="J2" s="43"/>
      <c r="K2" s="43"/>
      <c r="L2" s="43"/>
      <c r="M2" s="43"/>
      <c r="N2" s="48"/>
      <c r="O2" s="59"/>
    </row>
    <row r="3" spans="1:15" x14ac:dyDescent="0.35">
      <c r="A3" s="42"/>
      <c r="B3" s="42"/>
      <c r="C3" s="42"/>
      <c r="D3" s="42"/>
      <c r="E3" s="42"/>
      <c r="F3" s="42"/>
      <c r="G3" s="42"/>
      <c r="H3" s="43"/>
      <c r="I3" s="43"/>
      <c r="J3" s="43"/>
      <c r="K3" s="43"/>
      <c r="L3" s="43"/>
      <c r="M3" s="43"/>
      <c r="N3" s="48"/>
      <c r="O3" s="59"/>
    </row>
    <row r="4" spans="1:15" x14ac:dyDescent="0.35">
      <c r="A4" s="42"/>
      <c r="B4" s="42"/>
      <c r="C4" s="42"/>
      <c r="D4" s="117" t="s">
        <v>272</v>
      </c>
      <c r="E4" s="117"/>
      <c r="F4" s="117"/>
      <c r="G4" s="117"/>
      <c r="H4" s="117"/>
      <c r="I4" s="117"/>
      <c r="J4" s="117"/>
      <c r="K4" s="117"/>
      <c r="L4" s="117"/>
      <c r="M4" s="117"/>
      <c r="N4" s="56"/>
      <c r="O4" s="56"/>
    </row>
    <row r="5" spans="1:15" ht="26" x14ac:dyDescent="0.35">
      <c r="A5" s="42"/>
      <c r="B5" s="46"/>
      <c r="C5" s="47"/>
      <c r="D5" s="57">
        <v>2025</v>
      </c>
      <c r="E5" s="57">
        <v>2026</v>
      </c>
      <c r="F5" s="57">
        <v>2027</v>
      </c>
      <c r="G5" s="57">
        <v>2028</v>
      </c>
      <c r="H5" s="57">
        <v>2029</v>
      </c>
      <c r="I5" s="57">
        <v>2030</v>
      </c>
      <c r="J5" s="57">
        <v>2031</v>
      </c>
      <c r="K5" s="57">
        <v>2032</v>
      </c>
      <c r="L5" s="57">
        <v>2033</v>
      </c>
      <c r="M5" s="57">
        <v>2034</v>
      </c>
      <c r="N5" s="58" t="s">
        <v>158</v>
      </c>
      <c r="O5" s="58" t="s">
        <v>159</v>
      </c>
    </row>
    <row r="6" spans="1:15" x14ac:dyDescent="0.35">
      <c r="A6" s="49" t="s">
        <v>273</v>
      </c>
      <c r="B6" s="49">
        <v>70501</v>
      </c>
      <c r="C6" s="49" t="s">
        <v>274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50"/>
      <c r="O6" s="50"/>
    </row>
    <row r="7" spans="1:15" x14ac:dyDescent="0.35">
      <c r="A7" s="49"/>
      <c r="B7" s="49"/>
      <c r="C7" s="49" t="s">
        <v>275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50"/>
      <c r="O7" s="50"/>
    </row>
    <row r="8" spans="1:15" x14ac:dyDescent="0.35">
      <c r="A8" s="51"/>
      <c r="B8" s="51" t="s">
        <v>276</v>
      </c>
      <c r="C8" s="51" t="s">
        <v>277</v>
      </c>
      <c r="D8" s="52">
        <v>0</v>
      </c>
      <c r="E8" s="52">
        <v>43</v>
      </c>
      <c r="F8" s="52">
        <v>174</v>
      </c>
      <c r="G8" s="52">
        <v>217</v>
      </c>
      <c r="H8" s="52">
        <v>345</v>
      </c>
      <c r="I8" s="52">
        <v>454</v>
      </c>
      <c r="J8" s="52">
        <v>519</v>
      </c>
      <c r="K8" s="52">
        <v>637</v>
      </c>
      <c r="L8" s="52">
        <v>584</v>
      </c>
      <c r="M8" s="52">
        <v>0</v>
      </c>
      <c r="N8" s="53">
        <v>779</v>
      </c>
      <c r="O8" s="53">
        <v>2972</v>
      </c>
    </row>
    <row r="9" spans="1:15" x14ac:dyDescent="0.35">
      <c r="A9" s="51"/>
      <c r="B9" s="51" t="s">
        <v>278</v>
      </c>
      <c r="C9" s="54" t="s">
        <v>277</v>
      </c>
      <c r="D9" s="9">
        <v>0</v>
      </c>
      <c r="E9" s="9">
        <v>43</v>
      </c>
      <c r="F9" s="9">
        <v>174</v>
      </c>
      <c r="G9" s="9">
        <v>217</v>
      </c>
      <c r="H9" s="9">
        <v>345</v>
      </c>
      <c r="I9" s="9">
        <v>454</v>
      </c>
      <c r="J9" s="9">
        <v>519</v>
      </c>
      <c r="K9" s="9">
        <v>637</v>
      </c>
      <c r="L9" s="9">
        <v>584</v>
      </c>
      <c r="M9" s="9">
        <v>0</v>
      </c>
      <c r="N9" s="55">
        <v>779</v>
      </c>
      <c r="O9" s="55">
        <v>2972</v>
      </c>
    </row>
    <row r="10" spans="1:15" x14ac:dyDescent="0.35">
      <c r="A10" s="42"/>
      <c r="B10" s="46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4"/>
      <c r="O10" s="45"/>
    </row>
    <row r="11" spans="1:15" x14ac:dyDescent="0.35">
      <c r="A11" s="49" t="s">
        <v>273</v>
      </c>
      <c r="B11" s="49">
        <v>70502</v>
      </c>
      <c r="C11" s="49" t="s">
        <v>173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50"/>
      <c r="O11" s="50"/>
    </row>
    <row r="12" spans="1:15" x14ac:dyDescent="0.35">
      <c r="A12" s="51"/>
      <c r="B12" s="51" t="s">
        <v>276</v>
      </c>
      <c r="C12" s="51" t="s">
        <v>277</v>
      </c>
      <c r="D12" s="52">
        <v>0</v>
      </c>
      <c r="E12" s="52">
        <v>-966</v>
      </c>
      <c r="F12" s="52">
        <v>-2932</v>
      </c>
      <c r="G12" s="52">
        <v>-7098</v>
      </c>
      <c r="H12" s="52">
        <v>-11729</v>
      </c>
      <c r="I12" s="52">
        <v>-14008</v>
      </c>
      <c r="J12" s="52">
        <v>-15700</v>
      </c>
      <c r="K12" s="52">
        <v>-17613</v>
      </c>
      <c r="L12" s="52">
        <v>0</v>
      </c>
      <c r="M12" s="52">
        <v>0</v>
      </c>
      <c r="N12" s="53">
        <v>-22725</v>
      </c>
      <c r="O12" s="53">
        <v>-70046</v>
      </c>
    </row>
    <row r="13" spans="1:15" x14ac:dyDescent="0.35">
      <c r="A13" s="51"/>
      <c r="B13" s="51" t="s">
        <v>278</v>
      </c>
      <c r="C13" s="54" t="s">
        <v>277</v>
      </c>
      <c r="D13" s="9">
        <v>0</v>
      </c>
      <c r="E13" s="9">
        <v>-966</v>
      </c>
      <c r="F13" s="9">
        <v>-2932</v>
      </c>
      <c r="G13" s="9">
        <v>-7098</v>
      </c>
      <c r="H13" s="9">
        <v>-11729</v>
      </c>
      <c r="I13" s="9">
        <v>-14008</v>
      </c>
      <c r="J13" s="9">
        <v>-15700</v>
      </c>
      <c r="K13" s="9">
        <v>-17613</v>
      </c>
      <c r="L13" s="9">
        <v>0</v>
      </c>
      <c r="M13" s="9">
        <v>0</v>
      </c>
      <c r="N13" s="55">
        <v>-22725</v>
      </c>
      <c r="O13" s="55">
        <v>-70046</v>
      </c>
    </row>
    <row r="14" spans="1:15" x14ac:dyDescent="0.35">
      <c r="A14" s="42"/>
      <c r="B14" s="46"/>
      <c r="C14" s="47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4"/>
      <c r="O14" s="45"/>
    </row>
    <row r="15" spans="1:15" x14ac:dyDescent="0.35">
      <c r="A15" s="49" t="s">
        <v>273</v>
      </c>
      <c r="B15" s="49">
        <v>70511</v>
      </c>
      <c r="C15" s="116" t="s">
        <v>279</v>
      </c>
      <c r="D15" s="116"/>
      <c r="E15" s="48"/>
      <c r="F15" s="48"/>
      <c r="G15" s="48"/>
      <c r="H15" s="48"/>
      <c r="I15" s="48"/>
      <c r="J15" s="48"/>
      <c r="K15" s="48"/>
      <c r="L15" s="48"/>
      <c r="M15" s="48"/>
      <c r="N15" s="50"/>
      <c r="O15" s="50"/>
    </row>
    <row r="16" spans="1:15" x14ac:dyDescent="0.35">
      <c r="A16" s="51"/>
      <c r="B16" s="51" t="s">
        <v>276</v>
      </c>
      <c r="C16" s="51" t="s">
        <v>277</v>
      </c>
      <c r="D16" s="52">
        <v>0</v>
      </c>
      <c r="E16" s="52">
        <v>0</v>
      </c>
      <c r="F16" s="52">
        <v>0</v>
      </c>
      <c r="G16" s="52">
        <v>0</v>
      </c>
      <c r="H16" s="52">
        <v>-12</v>
      </c>
      <c r="I16" s="52">
        <v>-66</v>
      </c>
      <c r="J16" s="52">
        <v>-237</v>
      </c>
      <c r="K16" s="52">
        <v>-615</v>
      </c>
      <c r="L16" s="52">
        <v>-967</v>
      </c>
      <c r="M16" s="52">
        <v>-1267</v>
      </c>
      <c r="N16" s="53">
        <v>-12</v>
      </c>
      <c r="O16" s="53">
        <v>-3164</v>
      </c>
    </row>
    <row r="17" spans="1:15" x14ac:dyDescent="0.35">
      <c r="A17" s="51"/>
      <c r="B17" s="51" t="s">
        <v>278</v>
      </c>
      <c r="C17" s="54" t="s">
        <v>277</v>
      </c>
      <c r="D17" s="9">
        <v>0</v>
      </c>
      <c r="E17" s="9">
        <v>0</v>
      </c>
      <c r="F17" s="9">
        <v>0</v>
      </c>
      <c r="G17" s="9">
        <v>0</v>
      </c>
      <c r="H17" s="9">
        <v>-12</v>
      </c>
      <c r="I17" s="9">
        <v>-66</v>
      </c>
      <c r="J17" s="9">
        <v>-237</v>
      </c>
      <c r="K17" s="9">
        <v>-615</v>
      </c>
      <c r="L17" s="9">
        <v>-967</v>
      </c>
      <c r="M17" s="9">
        <v>-1267</v>
      </c>
      <c r="N17" s="55">
        <v>-12</v>
      </c>
      <c r="O17" s="55">
        <v>-3164</v>
      </c>
    </row>
    <row r="18" spans="1:15" x14ac:dyDescent="0.35">
      <c r="A18" s="42"/>
      <c r="B18" s="46"/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4"/>
      <c r="O18" s="45"/>
    </row>
    <row r="19" spans="1:15" x14ac:dyDescent="0.35">
      <c r="A19" s="60" t="s">
        <v>273</v>
      </c>
      <c r="B19" s="60">
        <v>70512</v>
      </c>
      <c r="C19" s="60" t="s">
        <v>280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2"/>
      <c r="O19" s="62"/>
    </row>
    <row r="20" spans="1:15" x14ac:dyDescent="0.35">
      <c r="A20" s="60"/>
      <c r="B20" s="60"/>
      <c r="C20" s="60" t="s">
        <v>281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2"/>
      <c r="O20" s="62"/>
    </row>
    <row r="21" spans="1:15" x14ac:dyDescent="0.35">
      <c r="A21" s="63"/>
      <c r="B21" s="63" t="s">
        <v>276</v>
      </c>
      <c r="C21" s="63" t="s">
        <v>277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-1</v>
      </c>
      <c r="J21" s="64">
        <v>-5</v>
      </c>
      <c r="K21" s="64">
        <v>-13</v>
      </c>
      <c r="L21" s="64">
        <v>-25</v>
      </c>
      <c r="M21" s="64">
        <v>0</v>
      </c>
      <c r="N21" s="65">
        <v>0</v>
      </c>
      <c r="O21" s="65">
        <v>-44</v>
      </c>
    </row>
    <row r="22" spans="1:15" x14ac:dyDescent="0.35">
      <c r="A22" s="63"/>
      <c r="B22" s="63" t="s">
        <v>278</v>
      </c>
      <c r="C22" s="66" t="s">
        <v>277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-3</v>
      </c>
      <c r="K22" s="67">
        <v>-10</v>
      </c>
      <c r="L22" s="67">
        <v>-20</v>
      </c>
      <c r="M22" s="67">
        <v>-34</v>
      </c>
      <c r="N22" s="68">
        <v>0</v>
      </c>
      <c r="O22" s="68">
        <v>-66</v>
      </c>
    </row>
    <row r="23" spans="1:15" x14ac:dyDescent="0.35">
      <c r="A23" s="42"/>
      <c r="B23" s="46"/>
      <c r="C23" s="47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4"/>
      <c r="O23" s="45"/>
    </row>
    <row r="24" spans="1:15" x14ac:dyDescent="0.35">
      <c r="A24" s="60" t="s">
        <v>273</v>
      </c>
      <c r="B24" s="60">
        <v>70513</v>
      </c>
      <c r="C24" s="60" t="s">
        <v>280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2"/>
      <c r="O24" s="62"/>
    </row>
    <row r="25" spans="1:15" x14ac:dyDescent="0.35">
      <c r="A25" s="60"/>
      <c r="B25" s="60"/>
      <c r="C25" s="60" t="s">
        <v>282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2"/>
      <c r="O25" s="62"/>
    </row>
    <row r="26" spans="1:15" x14ac:dyDescent="0.35">
      <c r="A26" s="63"/>
      <c r="B26" s="63" t="s">
        <v>276</v>
      </c>
      <c r="C26" s="63" t="s">
        <v>277</v>
      </c>
      <c r="D26" s="64">
        <v>0</v>
      </c>
      <c r="E26" s="64">
        <v>0</v>
      </c>
      <c r="F26" s="64">
        <v>0</v>
      </c>
      <c r="G26" s="64">
        <v>-5</v>
      </c>
      <c r="H26" s="64">
        <v>-132</v>
      </c>
      <c r="I26" s="64">
        <v>-189</v>
      </c>
      <c r="J26" s="64">
        <v>-235</v>
      </c>
      <c r="K26" s="64">
        <v>-317</v>
      </c>
      <c r="L26" s="64">
        <v>-380</v>
      </c>
      <c r="M26" s="64">
        <v>0</v>
      </c>
      <c r="N26" s="65">
        <v>-137</v>
      </c>
      <c r="O26" s="65">
        <v>-1259</v>
      </c>
    </row>
    <row r="27" spans="1:15" x14ac:dyDescent="0.35">
      <c r="A27" s="63"/>
      <c r="B27" s="63" t="s">
        <v>278</v>
      </c>
      <c r="C27" s="66" t="s">
        <v>277</v>
      </c>
      <c r="D27" s="67">
        <v>0</v>
      </c>
      <c r="E27" s="67">
        <v>0</v>
      </c>
      <c r="F27" s="67">
        <v>0</v>
      </c>
      <c r="G27" s="67">
        <v>0</v>
      </c>
      <c r="H27" s="67">
        <v>-4</v>
      </c>
      <c r="I27" s="67">
        <v>-145</v>
      </c>
      <c r="J27" s="67">
        <v>-249</v>
      </c>
      <c r="K27" s="67">
        <v>-307</v>
      </c>
      <c r="L27" s="67">
        <v>-349</v>
      </c>
      <c r="M27" s="67">
        <v>-382</v>
      </c>
      <c r="N27" s="68">
        <v>-4</v>
      </c>
      <c r="O27" s="68">
        <v>-1436</v>
      </c>
    </row>
    <row r="28" spans="1:15" x14ac:dyDescent="0.35">
      <c r="A28" s="42"/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4"/>
      <c r="O28" s="45"/>
    </row>
    <row r="29" spans="1:15" x14ac:dyDescent="0.35">
      <c r="A29" s="60" t="s">
        <v>273</v>
      </c>
      <c r="B29" s="60">
        <v>70514</v>
      </c>
      <c r="C29" s="60" t="s">
        <v>283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2"/>
      <c r="O29" s="62"/>
    </row>
    <row r="30" spans="1:15" x14ac:dyDescent="0.35">
      <c r="A30" s="60"/>
      <c r="B30" s="60"/>
      <c r="C30" s="60" t="s">
        <v>284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  <c r="O30" s="62"/>
    </row>
    <row r="31" spans="1:15" x14ac:dyDescent="0.35">
      <c r="A31" s="63"/>
      <c r="B31" s="63" t="s">
        <v>276</v>
      </c>
      <c r="C31" s="63" t="s">
        <v>277</v>
      </c>
      <c r="D31" s="64">
        <v>-28</v>
      </c>
      <c r="E31" s="64">
        <v>-97</v>
      </c>
      <c r="F31" s="64">
        <v>-141</v>
      </c>
      <c r="G31" s="64">
        <v>-134</v>
      </c>
      <c r="H31" s="64">
        <v>-119</v>
      </c>
      <c r="I31" s="64">
        <v>-92</v>
      </c>
      <c r="J31" s="64">
        <v>-74</v>
      </c>
      <c r="K31" s="64">
        <v>-58</v>
      </c>
      <c r="L31" s="64">
        <v>-18</v>
      </c>
      <c r="M31" s="64">
        <v>0</v>
      </c>
      <c r="N31" s="65">
        <v>-519</v>
      </c>
      <c r="O31" s="65">
        <v>-761</v>
      </c>
    </row>
    <row r="32" spans="1:15" x14ac:dyDescent="0.35">
      <c r="A32" s="69"/>
      <c r="B32" s="63" t="s">
        <v>278</v>
      </c>
      <c r="C32" s="66" t="s">
        <v>277</v>
      </c>
      <c r="D32" s="67">
        <v>-27</v>
      </c>
      <c r="E32" s="67">
        <v>-95</v>
      </c>
      <c r="F32" s="67">
        <v>-138</v>
      </c>
      <c r="G32" s="67">
        <v>-132</v>
      </c>
      <c r="H32" s="67">
        <v>-117</v>
      </c>
      <c r="I32" s="67">
        <v>-91</v>
      </c>
      <c r="J32" s="67">
        <v>-74</v>
      </c>
      <c r="K32" s="67">
        <v>-58</v>
      </c>
      <c r="L32" s="67">
        <v>-18</v>
      </c>
      <c r="M32" s="67">
        <v>0</v>
      </c>
      <c r="N32" s="68">
        <v>-509</v>
      </c>
      <c r="O32" s="68">
        <v>-749</v>
      </c>
    </row>
  </sheetData>
  <mergeCells count="3">
    <mergeCell ref="A2:G2"/>
    <mergeCell ref="C15:D15"/>
    <mergeCell ref="D4:M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E749-EE62-480F-A51F-9DE464BBD4DA}">
  <dimension ref="A1:B12"/>
  <sheetViews>
    <sheetView workbookViewId="0">
      <selection activeCell="B15" sqref="B15"/>
    </sheetView>
  </sheetViews>
  <sheetFormatPr defaultRowHeight="14.5" x14ac:dyDescent="0.35"/>
  <cols>
    <col min="1" max="1" width="16.54296875" bestFit="1" customWidth="1"/>
    <col min="2" max="2" width="102" bestFit="1" customWidth="1"/>
  </cols>
  <sheetData>
    <row r="1" spans="1:2" x14ac:dyDescent="0.35">
      <c r="A1" s="2" t="s">
        <v>52</v>
      </c>
      <c r="B1" s="2" t="s">
        <v>53</v>
      </c>
    </row>
    <row r="2" spans="1:2" x14ac:dyDescent="0.35">
      <c r="A2" s="5" t="s">
        <v>209</v>
      </c>
      <c r="B2" s="5" t="s">
        <v>210</v>
      </c>
    </row>
    <row r="3" spans="1:2" x14ac:dyDescent="0.35">
      <c r="A3" s="5" t="s">
        <v>212</v>
      </c>
      <c r="B3" s="5" t="s">
        <v>213</v>
      </c>
    </row>
    <row r="4" spans="1:2" x14ac:dyDescent="0.35">
      <c r="A4" s="5" t="s">
        <v>215</v>
      </c>
      <c r="B4" s="5" t="s">
        <v>216</v>
      </c>
    </row>
    <row r="5" spans="1:2" x14ac:dyDescent="0.35">
      <c r="A5" s="5" t="s">
        <v>218</v>
      </c>
      <c r="B5" s="5" t="s">
        <v>219</v>
      </c>
    </row>
    <row r="6" spans="1:2" x14ac:dyDescent="0.35">
      <c r="A6" s="5" t="s">
        <v>221</v>
      </c>
      <c r="B6" s="5" t="s">
        <v>222</v>
      </c>
    </row>
    <row r="7" spans="1:2" x14ac:dyDescent="0.35">
      <c r="A7" s="5" t="s">
        <v>223</v>
      </c>
      <c r="B7" s="5" t="s">
        <v>224</v>
      </c>
    </row>
    <row r="8" spans="1:2" x14ac:dyDescent="0.35">
      <c r="A8" s="5" t="s">
        <v>225</v>
      </c>
      <c r="B8" s="5" t="s">
        <v>226</v>
      </c>
    </row>
    <row r="9" spans="1:2" x14ac:dyDescent="0.35">
      <c r="A9" s="5" t="s">
        <v>66</v>
      </c>
      <c r="B9" s="5" t="s">
        <v>228</v>
      </c>
    </row>
    <row r="10" spans="1:2" x14ac:dyDescent="0.35">
      <c r="A10" s="5" t="s">
        <v>285</v>
      </c>
      <c r="B10" s="5" t="s">
        <v>230</v>
      </c>
    </row>
    <row r="11" spans="1:2" x14ac:dyDescent="0.35">
      <c r="A11" s="5" t="s">
        <v>125</v>
      </c>
      <c r="B11" s="5" t="s">
        <v>231</v>
      </c>
    </row>
    <row r="12" spans="1:2" x14ac:dyDescent="0.35">
      <c r="A12" s="5" t="s">
        <v>138</v>
      </c>
      <c r="B12" s="5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4F46-13CA-44A8-8E10-495243D5895B}">
  <dimension ref="A1:P113"/>
  <sheetViews>
    <sheetView zoomScale="89" zoomScaleNormal="85" workbookViewId="0">
      <pane xSplit="3" ySplit="2" topLeftCell="E74" activePane="bottomRight" state="frozen"/>
      <selection pane="topRight" activeCell="D1" sqref="D1"/>
      <selection pane="bottomLeft" activeCell="A3" sqref="A3"/>
      <selection pane="bottomRight" activeCell="F132" sqref="F132"/>
    </sheetView>
  </sheetViews>
  <sheetFormatPr defaultRowHeight="14.5" x14ac:dyDescent="0.35"/>
  <cols>
    <col min="1" max="1" width="19" bestFit="1" customWidth="1"/>
    <col min="2" max="2" width="11.1796875" bestFit="1" customWidth="1"/>
    <col min="3" max="3" width="50.453125" customWidth="1"/>
    <col min="4" max="14" width="9.1796875" bestFit="1" customWidth="1"/>
    <col min="15" max="15" width="12" customWidth="1"/>
  </cols>
  <sheetData>
    <row r="1" spans="1:15" x14ac:dyDescent="0.35">
      <c r="A1" s="86" t="s">
        <v>286</v>
      </c>
      <c r="D1" s="113" t="s">
        <v>156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26" x14ac:dyDescent="0.35">
      <c r="A2" t="s">
        <v>51</v>
      </c>
      <c r="B2" t="s">
        <v>157</v>
      </c>
      <c r="C2" t="s">
        <v>53</v>
      </c>
      <c r="D2" s="74">
        <v>2025</v>
      </c>
      <c r="E2" s="74">
        <v>2026</v>
      </c>
      <c r="F2" s="74">
        <v>2027</v>
      </c>
      <c r="G2" s="74">
        <v>2028</v>
      </c>
      <c r="H2" s="74">
        <v>2029</v>
      </c>
      <c r="I2" s="74">
        <v>2030</v>
      </c>
      <c r="J2" s="74">
        <v>2031</v>
      </c>
      <c r="K2" s="74">
        <v>2032</v>
      </c>
      <c r="L2" s="74">
        <v>2033</v>
      </c>
      <c r="M2" s="74">
        <v>2034</v>
      </c>
      <c r="N2" s="92" t="s">
        <v>158</v>
      </c>
      <c r="O2" s="92" t="s">
        <v>159</v>
      </c>
    </row>
    <row r="3" spans="1:15" x14ac:dyDescent="0.35">
      <c r="A3" t="s">
        <v>160</v>
      </c>
      <c r="B3">
        <v>70101</v>
      </c>
      <c r="C3" s="13" t="s">
        <v>161</v>
      </c>
      <c r="D3" s="14">
        <v>0</v>
      </c>
      <c r="E3" s="15">
        <v>-4948</v>
      </c>
      <c r="F3" s="15">
        <v>-7267</v>
      </c>
      <c r="G3" s="15">
        <v>-7631</v>
      </c>
      <c r="H3" s="15">
        <v>-8059</v>
      </c>
      <c r="I3" s="15">
        <v>-8338</v>
      </c>
      <c r="J3" s="15">
        <v>-8675</v>
      </c>
      <c r="K3" s="15">
        <v>-8960</v>
      </c>
      <c r="L3" s="15">
        <v>-9303</v>
      </c>
      <c r="M3" s="15">
        <v>-9780</v>
      </c>
      <c r="N3" s="85">
        <v>-27905</v>
      </c>
      <c r="O3" s="85">
        <v>-72961</v>
      </c>
    </row>
    <row r="4" spans="1:15" x14ac:dyDescent="0.35">
      <c r="A4" t="s">
        <v>160</v>
      </c>
      <c r="B4">
        <v>70102</v>
      </c>
      <c r="C4" s="13" t="s">
        <v>162</v>
      </c>
      <c r="D4" s="9">
        <v>-7544</v>
      </c>
      <c r="E4" s="9">
        <v>-17240</v>
      </c>
      <c r="F4" s="9">
        <v>-17694</v>
      </c>
      <c r="G4" s="9">
        <v>-18224</v>
      </c>
      <c r="H4" s="9">
        <v>-18769</v>
      </c>
      <c r="I4" s="9">
        <v>-19816</v>
      </c>
      <c r="J4" s="9">
        <v>-21014</v>
      </c>
      <c r="K4" s="9">
        <v>-22073</v>
      </c>
      <c r="L4" s="9">
        <v>-23354</v>
      </c>
      <c r="M4" s="9">
        <v>-23886</v>
      </c>
      <c r="N4" s="88">
        <v>-79471</v>
      </c>
      <c r="O4" s="89">
        <v>-189615</v>
      </c>
    </row>
    <row r="5" spans="1:15" x14ac:dyDescent="0.35">
      <c r="A5" t="s">
        <v>160</v>
      </c>
      <c r="B5">
        <v>70103</v>
      </c>
      <c r="C5" s="13" t="s">
        <v>163</v>
      </c>
      <c r="D5" s="9">
        <v>-9264</v>
      </c>
      <c r="E5" s="9">
        <v>-22639</v>
      </c>
      <c r="F5" s="9">
        <v>-22785</v>
      </c>
      <c r="G5" s="9">
        <v>-23067</v>
      </c>
      <c r="H5" s="9">
        <v>-13831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88">
        <v>-91586</v>
      </c>
      <c r="O5" s="89">
        <v>-91586</v>
      </c>
    </row>
    <row r="6" spans="1:15" x14ac:dyDescent="0.35">
      <c r="A6" t="s">
        <v>160</v>
      </c>
      <c r="B6">
        <v>70104</v>
      </c>
      <c r="C6" s="13" t="s">
        <v>164</v>
      </c>
      <c r="D6" s="14">
        <v>0</v>
      </c>
      <c r="E6" s="15">
        <v>-8671</v>
      </c>
      <c r="F6" s="15">
        <v>-5351</v>
      </c>
      <c r="G6" s="15">
        <v>-7341</v>
      </c>
      <c r="H6" s="15">
        <v>-8421</v>
      </c>
      <c r="I6" s="15">
        <v>-10405</v>
      </c>
      <c r="J6" s="15">
        <v>-11460</v>
      </c>
      <c r="K6" s="15">
        <v>-13401</v>
      </c>
      <c r="L6" s="15">
        <v>-14398</v>
      </c>
      <c r="M6" s="15">
        <v>-16276</v>
      </c>
      <c r="N6" s="85">
        <v>-29784</v>
      </c>
      <c r="O6" s="85">
        <v>-95723</v>
      </c>
    </row>
    <row r="7" spans="1:15" x14ac:dyDescent="0.35">
      <c r="A7" t="s">
        <v>160</v>
      </c>
      <c r="B7">
        <v>70105</v>
      </c>
      <c r="C7" s="13" t="s">
        <v>287</v>
      </c>
      <c r="D7" s="14">
        <v>0</v>
      </c>
      <c r="E7" s="14">
        <v>-388</v>
      </c>
      <c r="F7" s="14">
        <v>-656</v>
      </c>
      <c r="G7" s="14">
        <v>-668</v>
      </c>
      <c r="H7" s="14">
        <v>-680</v>
      </c>
      <c r="I7" s="14">
        <v>-693</v>
      </c>
      <c r="J7" s="14">
        <v>-702</v>
      </c>
      <c r="K7" s="14">
        <v>-712</v>
      </c>
      <c r="L7" s="14">
        <v>-723</v>
      </c>
      <c r="M7" s="14">
        <v>-738</v>
      </c>
      <c r="N7" s="85">
        <v>-2392</v>
      </c>
      <c r="O7" s="85">
        <v>-5961</v>
      </c>
    </row>
    <row r="8" spans="1:15" x14ac:dyDescent="0.35">
      <c r="A8" t="s">
        <v>160</v>
      </c>
      <c r="B8" s="17">
        <v>70106</v>
      </c>
      <c r="C8" s="13" t="s">
        <v>288</v>
      </c>
      <c r="D8" s="14">
        <v>0</v>
      </c>
      <c r="E8" s="14">
        <v>-2</v>
      </c>
      <c r="F8" s="14">
        <v>-979</v>
      </c>
      <c r="G8" s="15">
        <v>-1047</v>
      </c>
      <c r="H8" s="15">
        <v>-1127</v>
      </c>
      <c r="I8" s="15">
        <v>-1221</v>
      </c>
      <c r="J8" s="15">
        <v>-1379</v>
      </c>
      <c r="K8" s="15">
        <v>-1379</v>
      </c>
      <c r="L8" s="15">
        <v>-1612</v>
      </c>
      <c r="M8" s="15">
        <v>-1664</v>
      </c>
      <c r="N8" s="85">
        <v>-3155</v>
      </c>
      <c r="O8" s="85">
        <v>-10409</v>
      </c>
    </row>
    <row r="9" spans="1:15" x14ac:dyDescent="0.35">
      <c r="A9" t="s">
        <v>160</v>
      </c>
      <c r="B9" s="17">
        <v>70107</v>
      </c>
      <c r="C9" s="13" t="s">
        <v>289</v>
      </c>
      <c r="D9" s="14">
        <v>0</v>
      </c>
      <c r="E9" s="14">
        <v>742</v>
      </c>
      <c r="F9" s="15">
        <v>1341</v>
      </c>
      <c r="G9" s="15">
        <v>1337</v>
      </c>
      <c r="H9" s="15">
        <v>1348</v>
      </c>
      <c r="I9" s="15">
        <v>1376</v>
      </c>
      <c r="J9" s="15">
        <v>1419</v>
      </c>
      <c r="K9" s="15">
        <v>1475</v>
      </c>
      <c r="L9" s="15">
        <v>1533</v>
      </c>
      <c r="M9" s="15">
        <v>1593</v>
      </c>
      <c r="N9" s="85">
        <v>4768</v>
      </c>
      <c r="O9" s="85">
        <v>12164</v>
      </c>
    </row>
    <row r="10" spans="1:15" x14ac:dyDescent="0.35">
      <c r="A10" t="s">
        <v>160</v>
      </c>
      <c r="B10" s="17">
        <v>70108</v>
      </c>
      <c r="C10" s="13" t="s">
        <v>290</v>
      </c>
      <c r="D10" s="14">
        <v>0</v>
      </c>
      <c r="E10" s="14">
        <v>-104</v>
      </c>
      <c r="F10" s="14">
        <v>-256</v>
      </c>
      <c r="G10" s="14">
        <v>-246</v>
      </c>
      <c r="H10" s="14">
        <v>-237</v>
      </c>
      <c r="I10" s="14">
        <v>-226</v>
      </c>
      <c r="J10" s="14">
        <v>-210</v>
      </c>
      <c r="K10" s="14">
        <v>-199</v>
      </c>
      <c r="L10" s="14">
        <v>-185</v>
      </c>
      <c r="M10" s="14">
        <v>-163</v>
      </c>
      <c r="N10" s="84">
        <v>-843</v>
      </c>
      <c r="O10" s="85">
        <v>-1825</v>
      </c>
    </row>
    <row r="11" spans="1:15" x14ac:dyDescent="0.35">
      <c r="A11" t="s">
        <v>160</v>
      </c>
      <c r="B11" s="17">
        <v>70109</v>
      </c>
      <c r="C11" s="13" t="s">
        <v>291</v>
      </c>
      <c r="D11" s="14">
        <v>0</v>
      </c>
      <c r="E11" s="14">
        <v>-27</v>
      </c>
      <c r="F11" s="14">
        <v>-70</v>
      </c>
      <c r="G11" s="14">
        <v>-78</v>
      </c>
      <c r="H11" s="14">
        <v>-84</v>
      </c>
      <c r="I11" s="14">
        <v>-89</v>
      </c>
      <c r="J11" s="14">
        <v>-95</v>
      </c>
      <c r="K11" s="14">
        <v>-100</v>
      </c>
      <c r="L11" s="14">
        <v>-104</v>
      </c>
      <c r="M11" s="14">
        <v>-108</v>
      </c>
      <c r="N11" s="84">
        <v>-259</v>
      </c>
      <c r="O11" s="84">
        <v>-754</v>
      </c>
    </row>
    <row r="12" spans="1:15" x14ac:dyDescent="0.35">
      <c r="A12" t="s">
        <v>160</v>
      </c>
      <c r="B12" s="17">
        <v>70110</v>
      </c>
      <c r="C12" s="13" t="s">
        <v>292</v>
      </c>
      <c r="D12" s="14">
        <v>0</v>
      </c>
      <c r="E12" s="14">
        <v>-9</v>
      </c>
      <c r="F12" s="14">
        <v>-23</v>
      </c>
      <c r="G12" s="14">
        <v>-23</v>
      </c>
      <c r="H12" s="14">
        <v>-23</v>
      </c>
      <c r="I12" s="14">
        <v>-24</v>
      </c>
      <c r="J12" s="14">
        <v>-24</v>
      </c>
      <c r="K12" s="14">
        <v>-24</v>
      </c>
      <c r="L12" s="14">
        <v>-24</v>
      </c>
      <c r="M12" s="14">
        <v>-25</v>
      </c>
      <c r="N12" s="84">
        <v>-78</v>
      </c>
      <c r="O12" s="84">
        <v>-200</v>
      </c>
    </row>
    <row r="13" spans="1:15" x14ac:dyDescent="0.35">
      <c r="A13" t="s">
        <v>160</v>
      </c>
      <c r="B13" s="17">
        <v>70111</v>
      </c>
      <c r="C13" s="13" t="s">
        <v>293</v>
      </c>
      <c r="D13" s="14">
        <v>0</v>
      </c>
      <c r="E13" s="15">
        <v>1402</v>
      </c>
      <c r="F13" s="15">
        <v>3534</v>
      </c>
      <c r="G13" s="15">
        <v>3642</v>
      </c>
      <c r="H13" s="15">
        <v>3820</v>
      </c>
      <c r="I13" s="15">
        <v>4001</v>
      </c>
      <c r="J13" s="15">
        <v>4178</v>
      </c>
      <c r="K13" s="15">
        <v>4394</v>
      </c>
      <c r="L13" s="15">
        <v>4601</v>
      </c>
      <c r="M13" s="15">
        <v>4807</v>
      </c>
      <c r="N13" s="85">
        <v>12398</v>
      </c>
      <c r="O13" s="85">
        <v>34380</v>
      </c>
    </row>
    <row r="14" spans="1:15" x14ac:dyDescent="0.35">
      <c r="A14" t="s">
        <v>160</v>
      </c>
      <c r="B14">
        <v>70201</v>
      </c>
      <c r="C14" s="13" t="s">
        <v>294</v>
      </c>
      <c r="D14" s="14">
        <v>0</v>
      </c>
      <c r="E14" s="15">
        <v>-10121</v>
      </c>
      <c r="F14" s="15">
        <v>-7664</v>
      </c>
      <c r="G14" s="15">
        <v>-8078</v>
      </c>
      <c r="H14" s="15">
        <v>-5262</v>
      </c>
      <c r="I14" s="14">
        <v>-90</v>
      </c>
      <c r="J14" s="14">
        <v>-98</v>
      </c>
      <c r="K14" s="14">
        <v>-107</v>
      </c>
      <c r="L14" s="14">
        <v>-117</v>
      </c>
      <c r="M14" s="14">
        <v>-127</v>
      </c>
      <c r="N14" s="85">
        <v>-31125</v>
      </c>
      <c r="O14" s="85">
        <v>-31664</v>
      </c>
    </row>
    <row r="15" spans="1:15" x14ac:dyDescent="0.35">
      <c r="A15" t="s">
        <v>160</v>
      </c>
      <c r="B15">
        <v>70202</v>
      </c>
      <c r="C15" s="13" t="s">
        <v>295</v>
      </c>
      <c r="D15" s="14">
        <v>0</v>
      </c>
      <c r="E15" s="15">
        <v>-32806</v>
      </c>
      <c r="F15" s="15">
        <v>-25672</v>
      </c>
      <c r="G15" s="15">
        <v>-22982</v>
      </c>
      <c r="H15" s="15">
        <v>-8113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85">
        <v>-89573</v>
      </c>
      <c r="O15" s="85">
        <v>-89573</v>
      </c>
    </row>
    <row r="16" spans="1:15" x14ac:dyDescent="0.35">
      <c r="A16" t="s">
        <v>160</v>
      </c>
      <c r="B16">
        <v>70203</v>
      </c>
      <c r="C16" s="13" t="s">
        <v>296</v>
      </c>
      <c r="D16" s="81">
        <v>-1932</v>
      </c>
      <c r="E16" s="81">
        <v>-5400</v>
      </c>
      <c r="F16" s="81">
        <v>-8070</v>
      </c>
      <c r="G16" s="81">
        <v>-9916</v>
      </c>
      <c r="H16" s="81">
        <v>-5313</v>
      </c>
      <c r="I16">
        <v>0</v>
      </c>
      <c r="J16">
        <v>0</v>
      </c>
      <c r="K16">
        <v>0</v>
      </c>
      <c r="L16">
        <v>0</v>
      </c>
      <c r="M16">
        <v>0</v>
      </c>
      <c r="N16" s="89">
        <v>-30631</v>
      </c>
      <c r="O16" s="89">
        <v>-30631</v>
      </c>
    </row>
    <row r="17" spans="1:16" x14ac:dyDescent="0.35">
      <c r="A17" t="s">
        <v>160</v>
      </c>
      <c r="B17">
        <v>70204</v>
      </c>
      <c r="C17" s="13" t="s">
        <v>167</v>
      </c>
      <c r="D17" s="14">
        <v>0</v>
      </c>
      <c r="E17" s="14">
        <v>132</v>
      </c>
      <c r="F17" s="14">
        <v>86</v>
      </c>
      <c r="G17" s="14">
        <v>13</v>
      </c>
      <c r="H17" s="14">
        <v>-33</v>
      </c>
      <c r="I17" s="14">
        <v>-70</v>
      </c>
      <c r="J17" s="14">
        <v>-115</v>
      </c>
      <c r="K17" s="14">
        <v>-164</v>
      </c>
      <c r="L17" s="14">
        <v>-214</v>
      </c>
      <c r="M17" s="14">
        <v>-270</v>
      </c>
      <c r="N17" s="84">
        <v>198</v>
      </c>
      <c r="O17" s="84">
        <v>-634</v>
      </c>
    </row>
    <row r="18" spans="1:16" x14ac:dyDescent="0.35">
      <c r="A18" t="s">
        <v>160</v>
      </c>
      <c r="B18">
        <v>70401</v>
      </c>
      <c r="C18" s="13" t="s">
        <v>297</v>
      </c>
      <c r="D18" s="14">
        <v>0</v>
      </c>
      <c r="E18" s="14">
        <v>-45</v>
      </c>
      <c r="F18" s="14">
        <v>-72</v>
      </c>
      <c r="G18" s="14">
        <v>-76</v>
      </c>
      <c r="H18" s="14">
        <v>-80</v>
      </c>
      <c r="I18" s="14">
        <v>-84</v>
      </c>
      <c r="J18" s="14">
        <v>-88</v>
      </c>
      <c r="K18" s="14">
        <v>-93</v>
      </c>
      <c r="L18" s="14">
        <v>-98</v>
      </c>
      <c r="M18" s="14">
        <v>-94</v>
      </c>
      <c r="N18" s="84">
        <v>-273</v>
      </c>
      <c r="O18" s="84">
        <v>-731</v>
      </c>
    </row>
    <row r="19" spans="1:16" x14ac:dyDescent="0.35">
      <c r="A19" t="s">
        <v>160</v>
      </c>
      <c r="B19">
        <v>70402</v>
      </c>
      <c r="C19" s="13" t="s">
        <v>168</v>
      </c>
      <c r="D19" s="14">
        <v>-4</v>
      </c>
      <c r="E19" s="14">
        <v>-9</v>
      </c>
      <c r="F19" s="15">
        <v>-8</v>
      </c>
      <c r="G19" s="15">
        <v>-8</v>
      </c>
      <c r="H19" s="15">
        <v>-5</v>
      </c>
      <c r="I19" s="15">
        <v>-5</v>
      </c>
      <c r="J19" s="15">
        <v>-6</v>
      </c>
      <c r="K19" s="15">
        <v>-6</v>
      </c>
      <c r="L19" s="15">
        <v>-6</v>
      </c>
      <c r="M19" s="15">
        <v>-7</v>
      </c>
      <c r="N19" s="85">
        <v>-34</v>
      </c>
      <c r="O19" s="85">
        <v>-65</v>
      </c>
    </row>
    <row r="20" spans="1:16" x14ac:dyDescent="0.35">
      <c r="A20" t="s">
        <v>160</v>
      </c>
      <c r="B20">
        <v>70404</v>
      </c>
      <c r="C20" s="13" t="s">
        <v>298</v>
      </c>
      <c r="D20" s="14">
        <v>0</v>
      </c>
      <c r="E20" s="14">
        <v>-365</v>
      </c>
      <c r="F20" s="14">
        <v>-562</v>
      </c>
      <c r="G20" s="14">
        <v>-611</v>
      </c>
      <c r="H20" s="14">
        <v>-644</v>
      </c>
      <c r="I20" s="14">
        <v>-680</v>
      </c>
      <c r="J20" s="14">
        <v>-715</v>
      </c>
      <c r="K20" s="14">
        <v>-750</v>
      </c>
      <c r="L20" s="14">
        <v>-789</v>
      </c>
      <c r="M20" s="14">
        <v>-825</v>
      </c>
      <c r="N20" s="85">
        <v>-2182</v>
      </c>
      <c r="O20" s="85">
        <v>-5942</v>
      </c>
    </row>
    <row r="21" spans="1:16" x14ac:dyDescent="0.35">
      <c r="A21" t="s">
        <v>160</v>
      </c>
      <c r="B21">
        <v>70405</v>
      </c>
      <c r="C21" s="13" t="s">
        <v>299</v>
      </c>
      <c r="D21" s="14">
        <v>0</v>
      </c>
      <c r="E21" s="14">
        <v>-409</v>
      </c>
      <c r="F21" s="14">
        <v>-814</v>
      </c>
      <c r="G21" s="14">
        <v>-788</v>
      </c>
      <c r="H21" s="14">
        <v>-767</v>
      </c>
      <c r="I21" s="14">
        <v>-742</v>
      </c>
      <c r="J21" s="14">
        <v>-707</v>
      </c>
      <c r="K21" s="14">
        <v>-674</v>
      </c>
      <c r="L21" s="14">
        <v>-639</v>
      </c>
      <c r="M21" s="14">
        <v>-606</v>
      </c>
      <c r="N21" s="85">
        <v>-2778</v>
      </c>
      <c r="O21" s="85">
        <v>-6145</v>
      </c>
    </row>
    <row r="22" spans="1:16" x14ac:dyDescent="0.35">
      <c r="A22" t="s">
        <v>160</v>
      </c>
      <c r="B22">
        <v>70411</v>
      </c>
      <c r="C22" s="13" t="s">
        <v>300</v>
      </c>
      <c r="D22" s="14">
        <v>0</v>
      </c>
      <c r="E22" s="14">
        <v>0</v>
      </c>
      <c r="F22" s="14">
        <v>-501</v>
      </c>
      <c r="G22" s="15">
        <v>-2599</v>
      </c>
      <c r="H22" s="15">
        <v>-3062</v>
      </c>
      <c r="I22" s="15">
        <v>-3432</v>
      </c>
      <c r="J22" s="15">
        <v>-3725</v>
      </c>
      <c r="K22" s="15">
        <v>-4005</v>
      </c>
      <c r="L22" s="15">
        <v>-4201</v>
      </c>
      <c r="M22" s="15">
        <v>-4404</v>
      </c>
      <c r="N22" s="85">
        <v>-6162</v>
      </c>
      <c r="O22" s="85">
        <v>-25930</v>
      </c>
    </row>
    <row r="23" spans="1:16" x14ac:dyDescent="0.35">
      <c r="A23" t="s">
        <v>160</v>
      </c>
      <c r="B23">
        <v>70412</v>
      </c>
      <c r="C23" s="13" t="s">
        <v>301</v>
      </c>
      <c r="D23" s="14">
        <v>0</v>
      </c>
      <c r="E23" s="14">
        <v>-706</v>
      </c>
      <c r="F23" s="15">
        <v>-1034</v>
      </c>
      <c r="G23" s="15">
        <v>-1106</v>
      </c>
      <c r="H23" s="15">
        <v>-1182</v>
      </c>
      <c r="I23" s="15">
        <v>-1263</v>
      </c>
      <c r="J23" s="15">
        <v>-1349</v>
      </c>
      <c r="K23" s="15">
        <v>-1438</v>
      </c>
      <c r="L23" s="15">
        <v>-1531</v>
      </c>
      <c r="M23" s="15">
        <v>-1629</v>
      </c>
      <c r="N23" s="85">
        <v>-4028</v>
      </c>
      <c r="O23" s="85">
        <v>-11238</v>
      </c>
    </row>
    <row r="24" spans="1:16" x14ac:dyDescent="0.35">
      <c r="A24" t="s">
        <v>160</v>
      </c>
      <c r="B24">
        <v>70501</v>
      </c>
      <c r="C24" s="13" t="s">
        <v>172</v>
      </c>
      <c r="D24" s="14">
        <v>0</v>
      </c>
      <c r="E24" s="14">
        <v>150</v>
      </c>
      <c r="F24" s="14">
        <v>608</v>
      </c>
      <c r="G24" s="14">
        <v>759</v>
      </c>
      <c r="H24" s="15">
        <v>1207</v>
      </c>
      <c r="I24" s="15">
        <v>1590</v>
      </c>
      <c r="J24" s="15">
        <v>1816</v>
      </c>
      <c r="K24" s="15">
        <v>2229</v>
      </c>
      <c r="L24" s="15">
        <v>2044</v>
      </c>
      <c r="M24" s="14">
        <v>0</v>
      </c>
      <c r="N24" s="85">
        <v>2724</v>
      </c>
      <c r="O24" s="85">
        <v>10402</v>
      </c>
    </row>
    <row r="25" spans="1:16" x14ac:dyDescent="0.35">
      <c r="A25" t="s">
        <v>160</v>
      </c>
      <c r="B25">
        <v>70502</v>
      </c>
      <c r="C25" s="13" t="s">
        <v>173</v>
      </c>
      <c r="D25" s="14">
        <v>0</v>
      </c>
      <c r="E25" s="14">
        <v>107</v>
      </c>
      <c r="F25" s="14">
        <v>325</v>
      </c>
      <c r="G25" s="14">
        <v>789</v>
      </c>
      <c r="H25" s="15">
        <v>1303</v>
      </c>
      <c r="I25" s="15">
        <v>1557</v>
      </c>
      <c r="J25" s="15">
        <v>1745</v>
      </c>
      <c r="K25" s="15">
        <v>1957</v>
      </c>
      <c r="L25" s="14">
        <v>0</v>
      </c>
      <c r="M25" s="14">
        <v>0</v>
      </c>
      <c r="N25" s="85">
        <v>2524</v>
      </c>
      <c r="O25" s="85">
        <v>7783</v>
      </c>
    </row>
    <row r="26" spans="1:16" x14ac:dyDescent="0.35">
      <c r="A26" t="s">
        <v>160</v>
      </c>
      <c r="B26">
        <v>70504</v>
      </c>
      <c r="C26" s="13" t="s">
        <v>302</v>
      </c>
      <c r="D26" s="14">
        <v>0</v>
      </c>
      <c r="E26" s="14">
        <v>20</v>
      </c>
      <c r="F26" s="14">
        <v>97</v>
      </c>
      <c r="G26" s="14">
        <v>195</v>
      </c>
      <c r="H26" s="14">
        <v>244</v>
      </c>
      <c r="I26" s="14">
        <v>279</v>
      </c>
      <c r="J26" s="14">
        <v>325</v>
      </c>
      <c r="K26" s="14">
        <v>378</v>
      </c>
      <c r="L26" s="14">
        <v>324</v>
      </c>
      <c r="M26" s="14">
        <v>102</v>
      </c>
      <c r="N26" s="84">
        <v>556</v>
      </c>
      <c r="O26" s="85">
        <v>1963</v>
      </c>
    </row>
    <row r="27" spans="1:16" x14ac:dyDescent="0.35">
      <c r="A27" t="s">
        <v>160</v>
      </c>
      <c r="B27">
        <v>70505</v>
      </c>
      <c r="C27" s="13" t="s">
        <v>303</v>
      </c>
      <c r="D27" s="14">
        <v>0</v>
      </c>
      <c r="E27" s="14">
        <v>258</v>
      </c>
      <c r="F27" s="15">
        <v>2598</v>
      </c>
      <c r="G27" s="15">
        <v>2735</v>
      </c>
      <c r="H27" s="15">
        <v>2880</v>
      </c>
      <c r="I27" s="15">
        <v>3032</v>
      </c>
      <c r="J27" s="15">
        <v>3192</v>
      </c>
      <c r="K27" s="15">
        <v>3360</v>
      </c>
      <c r="L27" s="15">
        <v>3167</v>
      </c>
      <c r="M27" s="14">
        <v>0</v>
      </c>
      <c r="N27" s="85">
        <v>8471</v>
      </c>
      <c r="O27" s="85">
        <v>21222</v>
      </c>
    </row>
    <row r="28" spans="1:16" x14ac:dyDescent="0.35">
      <c r="A28" t="s">
        <v>160</v>
      </c>
      <c r="B28">
        <v>70506</v>
      </c>
      <c r="C28" s="13" t="s">
        <v>304</v>
      </c>
      <c r="D28" s="14">
        <v>-142</v>
      </c>
      <c r="E28" s="14">
        <v>-753</v>
      </c>
      <c r="F28" s="15">
        <v>5486</v>
      </c>
      <c r="G28" s="15">
        <v>7942</v>
      </c>
      <c r="H28" s="15">
        <v>9321</v>
      </c>
      <c r="I28" s="15">
        <v>10135</v>
      </c>
      <c r="J28" s="15">
        <v>10853</v>
      </c>
      <c r="K28" s="15">
        <v>11526</v>
      </c>
      <c r="L28" s="15">
        <v>11943</v>
      </c>
      <c r="M28" s="15">
        <v>11048</v>
      </c>
      <c r="N28" s="85">
        <v>21854</v>
      </c>
      <c r="O28" s="85">
        <v>77361</v>
      </c>
    </row>
    <row r="29" spans="1:16" x14ac:dyDescent="0.35"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6" x14ac:dyDescent="0.35">
      <c r="A30" t="s">
        <v>165</v>
      </c>
      <c r="B30">
        <v>70120</v>
      </c>
      <c r="C30" s="13" t="s">
        <v>305</v>
      </c>
      <c r="D30" s="81">
        <v>-5070</v>
      </c>
      <c r="E30" s="81">
        <v>-33989</v>
      </c>
      <c r="F30" s="81">
        <v>-28926</v>
      </c>
      <c r="G30" s="81">
        <v>-30358</v>
      </c>
      <c r="H30" s="81">
        <v>-31925</v>
      </c>
      <c r="I30" s="81">
        <v>-16649</v>
      </c>
      <c r="J30" s="81">
        <v>4662</v>
      </c>
      <c r="K30" s="81">
        <v>-89</v>
      </c>
      <c r="L30" s="81">
        <v>-99</v>
      </c>
      <c r="M30" s="81">
        <v>-103</v>
      </c>
      <c r="N30" s="89">
        <v>-130268</v>
      </c>
      <c r="O30" s="89">
        <v>-142546</v>
      </c>
      <c r="P30" t="s">
        <v>306</v>
      </c>
    </row>
    <row r="31" spans="1:16" x14ac:dyDescent="0.35">
      <c r="A31" t="s">
        <v>170</v>
      </c>
      <c r="B31">
        <v>70301</v>
      </c>
      <c r="C31" s="13" t="s">
        <v>182</v>
      </c>
      <c r="D31" s="9">
        <v>-33505</v>
      </c>
      <c r="E31" s="9">
        <v>-54214</v>
      </c>
      <c r="F31" s="9">
        <v>-35617</v>
      </c>
      <c r="G31" s="9">
        <v>-26045</v>
      </c>
      <c r="H31" s="9">
        <v>-18911</v>
      </c>
      <c r="I31" s="9">
        <v>-13293</v>
      </c>
      <c r="J31" s="9">
        <v>-10310</v>
      </c>
      <c r="K31" s="9">
        <v>-9288</v>
      </c>
      <c r="L31" s="9">
        <v>-9073</v>
      </c>
      <c r="M31" s="9">
        <v>-9201</v>
      </c>
      <c r="N31" s="88">
        <v>-168292</v>
      </c>
      <c r="O31" s="88">
        <v>-219457</v>
      </c>
    </row>
    <row r="32" spans="1:16" x14ac:dyDescent="0.35">
      <c r="A32" t="s">
        <v>170</v>
      </c>
      <c r="B32">
        <v>70302</v>
      </c>
      <c r="C32" s="13" t="s">
        <v>183</v>
      </c>
      <c r="D32" s="9">
        <v>-53793</v>
      </c>
      <c r="E32" s="9">
        <v>-33585</v>
      </c>
      <c r="F32" s="9">
        <v>-20483</v>
      </c>
      <c r="G32" s="9">
        <v>-13794</v>
      </c>
      <c r="H32" s="9">
        <v>-7480</v>
      </c>
      <c r="I32" s="9">
        <v>-3186</v>
      </c>
      <c r="J32" s="9">
        <v>-2134</v>
      </c>
      <c r="K32" s="9">
        <v>-2240</v>
      </c>
      <c r="L32" s="9">
        <v>-2343</v>
      </c>
      <c r="M32" s="9">
        <v>-2424</v>
      </c>
      <c r="N32" s="88">
        <v>-129135</v>
      </c>
      <c r="O32" s="88">
        <v>-141463</v>
      </c>
    </row>
    <row r="33" spans="1:15" x14ac:dyDescent="0.35">
      <c r="A33" t="s">
        <v>170</v>
      </c>
      <c r="B33">
        <v>70303</v>
      </c>
      <c r="C33" s="13" t="s">
        <v>184</v>
      </c>
      <c r="D33" s="9">
        <v>-8268</v>
      </c>
      <c r="E33" s="9">
        <v>-6519</v>
      </c>
      <c r="F33" s="9">
        <v>-6183</v>
      </c>
      <c r="G33" s="9">
        <v>-5673</v>
      </c>
      <c r="H33" s="9">
        <v>-5260</v>
      </c>
      <c r="I33" s="9">
        <v>-5278</v>
      </c>
      <c r="J33" s="9">
        <v>-5507</v>
      </c>
      <c r="K33" s="9">
        <v>-5529</v>
      </c>
      <c r="L33" s="9">
        <v>-6043</v>
      </c>
      <c r="M33" s="9">
        <v>-6250</v>
      </c>
      <c r="N33" s="88">
        <v>-31903</v>
      </c>
      <c r="O33" s="88">
        <v>-60511</v>
      </c>
    </row>
    <row r="34" spans="1:15" x14ac:dyDescent="0.35">
      <c r="A34" t="s">
        <v>170</v>
      </c>
      <c r="B34">
        <v>70304</v>
      </c>
      <c r="C34" s="13" t="s">
        <v>185</v>
      </c>
      <c r="D34" s="14">
        <v>0</v>
      </c>
      <c r="E34" s="14">
        <v>-102</v>
      </c>
      <c r="F34" s="14">
        <v>-260</v>
      </c>
      <c r="G34" s="14">
        <v>-379</v>
      </c>
      <c r="H34" s="14">
        <v>-489</v>
      </c>
      <c r="I34" s="14">
        <v>-610</v>
      </c>
      <c r="J34" s="14">
        <v>-737</v>
      </c>
      <c r="K34" s="14">
        <v>-870</v>
      </c>
      <c r="L34" s="14">
        <v>-972</v>
      </c>
      <c r="M34" s="15">
        <v>-1036</v>
      </c>
      <c r="N34" s="85">
        <v>-1230</v>
      </c>
      <c r="O34" s="85">
        <v>-5454</v>
      </c>
    </row>
    <row r="35" spans="1:15" x14ac:dyDescent="0.35">
      <c r="A35" t="s">
        <v>170</v>
      </c>
      <c r="B35">
        <v>70305</v>
      </c>
      <c r="C35" s="13" t="s">
        <v>186</v>
      </c>
      <c r="D35" s="14">
        <v>0</v>
      </c>
      <c r="E35" s="15">
        <v>2424</v>
      </c>
      <c r="F35" s="15">
        <v>3285</v>
      </c>
      <c r="G35" s="15">
        <v>3409</v>
      </c>
      <c r="H35" s="15">
        <v>3536</v>
      </c>
      <c r="I35" s="15">
        <v>3671</v>
      </c>
      <c r="J35" s="15">
        <v>3812</v>
      </c>
      <c r="K35" s="15">
        <v>3959</v>
      </c>
      <c r="L35" s="15">
        <v>4111</v>
      </c>
      <c r="M35" s="15">
        <v>4268</v>
      </c>
      <c r="N35" s="85">
        <v>12654</v>
      </c>
      <c r="O35" s="85">
        <v>32476</v>
      </c>
    </row>
    <row r="36" spans="1:15" x14ac:dyDescent="0.35">
      <c r="A36" t="s">
        <v>170</v>
      </c>
      <c r="B36">
        <v>70306</v>
      </c>
      <c r="C36" s="13" t="s">
        <v>187</v>
      </c>
      <c r="D36" s="9">
        <v>-2301</v>
      </c>
      <c r="E36" s="9">
        <v>-4292</v>
      </c>
      <c r="F36" s="9">
        <v>-3613</v>
      </c>
      <c r="G36" s="9">
        <v>-2995</v>
      </c>
      <c r="H36" s="9">
        <v>-2516</v>
      </c>
      <c r="I36" s="9">
        <v>-2116</v>
      </c>
      <c r="J36" s="9">
        <v>-1873</v>
      </c>
      <c r="K36" s="9">
        <v>-1757</v>
      </c>
      <c r="L36" s="9">
        <v>-1697</v>
      </c>
      <c r="M36" s="9">
        <v>-1662</v>
      </c>
      <c r="N36" s="88">
        <v>-15717</v>
      </c>
      <c r="O36" s="88">
        <v>-24822</v>
      </c>
    </row>
    <row r="37" spans="1:15" x14ac:dyDescent="0.35">
      <c r="A37" t="s">
        <v>170</v>
      </c>
      <c r="B37">
        <v>70307</v>
      </c>
      <c r="C37" s="13" t="s">
        <v>188</v>
      </c>
      <c r="D37" s="9">
        <v>-2167</v>
      </c>
      <c r="E37" s="9">
        <v>-30280</v>
      </c>
      <c r="F37" s="9">
        <v>-34374</v>
      </c>
      <c r="G37" s="9">
        <v>-33959</v>
      </c>
      <c r="H37" s="9">
        <v>-28524</v>
      </c>
      <c r="I37" s="9">
        <v>-18339</v>
      </c>
      <c r="J37" s="9">
        <v>-4229</v>
      </c>
      <c r="K37" s="9">
        <v>1926</v>
      </c>
      <c r="L37" s="9">
        <v>3950</v>
      </c>
      <c r="M37" s="9">
        <v>4600</v>
      </c>
      <c r="N37" s="88">
        <v>-129304</v>
      </c>
      <c r="O37" s="88">
        <v>-141396</v>
      </c>
    </row>
    <row r="38" spans="1:15" x14ac:dyDescent="0.35">
      <c r="A38" t="s">
        <v>170</v>
      </c>
      <c r="B38">
        <v>70308</v>
      </c>
      <c r="C38" s="13" t="s">
        <v>189</v>
      </c>
      <c r="D38" s="14">
        <v>0</v>
      </c>
      <c r="E38" s="15">
        <v>-1728</v>
      </c>
      <c r="F38" s="15">
        <v>-2876</v>
      </c>
      <c r="G38" s="15">
        <v>-3566</v>
      </c>
      <c r="H38" s="15">
        <v>-2140</v>
      </c>
      <c r="I38" s="14">
        <v>-858</v>
      </c>
      <c r="J38" s="15">
        <v>-1024</v>
      </c>
      <c r="K38" s="15">
        <v>-1057</v>
      </c>
      <c r="L38" s="14">
        <v>-868</v>
      </c>
      <c r="M38" s="14">
        <v>-794</v>
      </c>
      <c r="N38" s="85">
        <v>-10310</v>
      </c>
      <c r="O38" s="85">
        <v>-14911</v>
      </c>
    </row>
    <row r="39" spans="1:15" x14ac:dyDescent="0.35">
      <c r="A39" t="s">
        <v>170</v>
      </c>
      <c r="B39">
        <v>70309</v>
      </c>
      <c r="C39" s="13" t="s">
        <v>190</v>
      </c>
      <c r="D39" s="14">
        <v>0</v>
      </c>
      <c r="E39" s="14">
        <v>-11</v>
      </c>
      <c r="F39" s="14">
        <v>-35</v>
      </c>
      <c r="G39" s="14">
        <v>-68</v>
      </c>
      <c r="H39" s="14">
        <v>-98</v>
      </c>
      <c r="I39" s="14">
        <v>-123</v>
      </c>
      <c r="J39" s="14">
        <v>-142</v>
      </c>
      <c r="K39" s="14">
        <v>-162</v>
      </c>
      <c r="L39" s="14">
        <v>-183</v>
      </c>
      <c r="M39" s="14">
        <v>-204</v>
      </c>
      <c r="N39" s="84">
        <v>-212</v>
      </c>
      <c r="O39" s="85">
        <v>-1026</v>
      </c>
    </row>
    <row r="40" spans="1:15" x14ac:dyDescent="0.35">
      <c r="A40" t="s">
        <v>170</v>
      </c>
      <c r="B40">
        <v>70311</v>
      </c>
      <c r="C40" s="13" t="s">
        <v>191</v>
      </c>
      <c r="D40" s="14">
        <v>0</v>
      </c>
      <c r="E40" s="15">
        <v>-1347</v>
      </c>
      <c r="F40" s="15">
        <v>-2806</v>
      </c>
      <c r="G40" s="15">
        <v>-3070</v>
      </c>
      <c r="H40" s="15">
        <v>-3543</v>
      </c>
      <c r="I40" s="15">
        <v>-3707</v>
      </c>
      <c r="J40" s="15">
        <v>-3698</v>
      </c>
      <c r="K40" s="15">
        <v>-3775</v>
      </c>
      <c r="L40" s="15">
        <v>-3810</v>
      </c>
      <c r="M40" s="15">
        <v>-3975</v>
      </c>
      <c r="N40" s="85">
        <v>-10766</v>
      </c>
      <c r="O40" s="85">
        <v>-29730</v>
      </c>
    </row>
    <row r="41" spans="1:15" x14ac:dyDescent="0.35">
      <c r="A41" t="s">
        <v>170</v>
      </c>
      <c r="B41">
        <v>70312</v>
      </c>
      <c r="C41" s="13" t="s">
        <v>192</v>
      </c>
      <c r="D41" s="14">
        <v>0</v>
      </c>
      <c r="E41" s="15">
        <v>-1476</v>
      </c>
      <c r="F41" s="15">
        <v>-3444</v>
      </c>
      <c r="G41" s="15">
        <v>-4036</v>
      </c>
      <c r="H41" s="15">
        <v>-3482</v>
      </c>
      <c r="I41" s="15">
        <v>-2561</v>
      </c>
      <c r="J41" s="15">
        <v>-2315</v>
      </c>
      <c r="K41" s="15">
        <v>-2441</v>
      </c>
      <c r="L41" s="15">
        <v>-2557</v>
      </c>
      <c r="M41" s="15">
        <v>-2405</v>
      </c>
      <c r="N41" s="85">
        <v>-12438</v>
      </c>
      <c r="O41" s="85">
        <v>-24716</v>
      </c>
    </row>
    <row r="42" spans="1:15" x14ac:dyDescent="0.35">
      <c r="A42" t="s">
        <v>170</v>
      </c>
      <c r="B42">
        <v>70313</v>
      </c>
      <c r="C42" s="13" t="s">
        <v>193</v>
      </c>
      <c r="D42" s="14">
        <v>0</v>
      </c>
      <c r="E42" s="14">
        <v>-462</v>
      </c>
      <c r="F42" s="14">
        <v>-756</v>
      </c>
      <c r="G42" s="14">
        <v>-644</v>
      </c>
      <c r="H42" s="14">
        <v>-813</v>
      </c>
      <c r="I42" s="14">
        <v>-857</v>
      </c>
      <c r="J42" s="14">
        <v>-704</v>
      </c>
      <c r="K42" s="14">
        <v>-618</v>
      </c>
      <c r="L42" s="14">
        <v>-647</v>
      </c>
      <c r="M42" s="14">
        <v>-874</v>
      </c>
      <c r="N42" s="85">
        <v>-2675</v>
      </c>
      <c r="O42" s="85">
        <v>-6376</v>
      </c>
    </row>
    <row r="43" spans="1:15" x14ac:dyDescent="0.35">
      <c r="A43" t="s">
        <v>170</v>
      </c>
      <c r="B43">
        <v>70321</v>
      </c>
      <c r="C43" s="13" t="s">
        <v>194</v>
      </c>
      <c r="D43" s="14">
        <v>0</v>
      </c>
      <c r="E43" s="15">
        <v>3122</v>
      </c>
      <c r="F43" s="15">
        <v>6752</v>
      </c>
      <c r="G43" s="15">
        <v>7580</v>
      </c>
      <c r="H43" s="15">
        <v>6949</v>
      </c>
      <c r="I43" s="15">
        <v>5917</v>
      </c>
      <c r="J43" s="15">
        <v>5832</v>
      </c>
      <c r="K43" s="15">
        <v>6108</v>
      </c>
      <c r="L43" s="15">
        <v>6456</v>
      </c>
      <c r="M43" s="15">
        <v>6284</v>
      </c>
      <c r="N43" s="85">
        <v>24403</v>
      </c>
      <c r="O43" s="85">
        <v>55000</v>
      </c>
    </row>
    <row r="44" spans="1:15" x14ac:dyDescent="0.35">
      <c r="A44" t="s">
        <v>170</v>
      </c>
      <c r="B44">
        <v>70322</v>
      </c>
      <c r="C44" s="13" t="s">
        <v>195</v>
      </c>
      <c r="D44" s="14">
        <v>0</v>
      </c>
      <c r="E44" s="15">
        <v>-2080</v>
      </c>
      <c r="F44" s="15">
        <v>-3553</v>
      </c>
      <c r="G44" s="15">
        <v>-2684</v>
      </c>
      <c r="H44" s="15">
        <v>-1008</v>
      </c>
      <c r="I44" s="14">
        <v>391</v>
      </c>
      <c r="J44" s="14">
        <v>539</v>
      </c>
      <c r="K44" s="14">
        <v>474</v>
      </c>
      <c r="L44" s="14">
        <v>100</v>
      </c>
      <c r="M44" s="14">
        <v>227</v>
      </c>
      <c r="N44" s="85">
        <v>-9325</v>
      </c>
      <c r="O44" s="85">
        <v>-7595</v>
      </c>
    </row>
    <row r="45" spans="1:15" x14ac:dyDescent="0.35">
      <c r="A45" t="s">
        <v>170</v>
      </c>
      <c r="B45">
        <v>70323</v>
      </c>
      <c r="C45" s="13" t="s">
        <v>196</v>
      </c>
      <c r="D45" s="14">
        <v>0</v>
      </c>
      <c r="E45" s="14">
        <v>-394</v>
      </c>
      <c r="F45" s="15">
        <v>-1351</v>
      </c>
      <c r="G45" s="15">
        <v>-1602</v>
      </c>
      <c r="H45" s="14">
        <v>-741</v>
      </c>
      <c r="I45" s="14">
        <v>-462</v>
      </c>
      <c r="J45" s="14">
        <v>-536</v>
      </c>
      <c r="K45" s="14">
        <v>-396</v>
      </c>
      <c r="L45" s="14">
        <v>-549</v>
      </c>
      <c r="M45" s="14">
        <v>-608</v>
      </c>
      <c r="N45" s="85">
        <v>-4088</v>
      </c>
      <c r="O45" s="85">
        <v>-6639</v>
      </c>
    </row>
    <row r="46" spans="1:15" x14ac:dyDescent="0.35">
      <c r="A46" t="s">
        <v>170</v>
      </c>
      <c r="B46">
        <v>70331</v>
      </c>
      <c r="C46" s="13" t="s">
        <v>197</v>
      </c>
      <c r="D46" s="14">
        <v>0</v>
      </c>
      <c r="E46" s="14">
        <v>130</v>
      </c>
      <c r="F46" s="14">
        <v>166</v>
      </c>
      <c r="G46" s="14">
        <v>102</v>
      </c>
      <c r="H46" s="14">
        <v>154</v>
      </c>
      <c r="I46" s="14">
        <v>178</v>
      </c>
      <c r="J46" s="14">
        <v>260</v>
      </c>
      <c r="K46" s="14">
        <v>345</v>
      </c>
      <c r="L46" s="14">
        <v>335</v>
      </c>
      <c r="M46" s="14">
        <v>295</v>
      </c>
      <c r="N46" s="84">
        <v>552</v>
      </c>
      <c r="O46" s="85">
        <v>1965</v>
      </c>
    </row>
    <row r="47" spans="1:15" x14ac:dyDescent="0.35">
      <c r="A47" t="s">
        <v>170</v>
      </c>
      <c r="B47">
        <v>70341</v>
      </c>
      <c r="C47" s="13" t="s">
        <v>198</v>
      </c>
      <c r="D47" s="14">
        <v>0</v>
      </c>
      <c r="E47" s="14">
        <v>360</v>
      </c>
      <c r="F47" s="14">
        <v>887</v>
      </c>
      <c r="G47" s="15">
        <v>1142</v>
      </c>
      <c r="H47" s="15">
        <v>1277</v>
      </c>
      <c r="I47" s="15">
        <v>1373</v>
      </c>
      <c r="J47" s="15">
        <v>1473</v>
      </c>
      <c r="K47" s="15">
        <v>1575</v>
      </c>
      <c r="L47" s="15">
        <v>1680</v>
      </c>
      <c r="M47" s="15">
        <v>1789</v>
      </c>
      <c r="N47" s="85">
        <v>3666</v>
      </c>
      <c r="O47" s="85">
        <v>11557</v>
      </c>
    </row>
    <row r="48" spans="1:15" x14ac:dyDescent="0.35">
      <c r="A48" t="s">
        <v>170</v>
      </c>
      <c r="B48">
        <v>70342</v>
      </c>
      <c r="C48" s="13" t="s">
        <v>199</v>
      </c>
      <c r="D48" s="14">
        <v>0</v>
      </c>
      <c r="E48" s="14">
        <v>660</v>
      </c>
      <c r="F48" s="15">
        <v>1438</v>
      </c>
      <c r="G48" s="15">
        <v>1357</v>
      </c>
      <c r="H48" s="15">
        <v>1144</v>
      </c>
      <c r="I48" s="15">
        <v>1077</v>
      </c>
      <c r="J48" s="15">
        <v>1065</v>
      </c>
      <c r="K48" s="15">
        <v>1100</v>
      </c>
      <c r="L48" s="15">
        <v>1154</v>
      </c>
      <c r="M48" s="15">
        <v>1195</v>
      </c>
      <c r="N48" s="85">
        <v>4599</v>
      </c>
      <c r="O48" s="85">
        <v>10191</v>
      </c>
    </row>
    <row r="49" spans="1:16" x14ac:dyDescent="0.35">
      <c r="A49" t="s">
        <v>170</v>
      </c>
      <c r="B49">
        <v>70351</v>
      </c>
      <c r="C49" s="13" t="s">
        <v>307</v>
      </c>
      <c r="D49" s="14">
        <v>0</v>
      </c>
      <c r="E49" s="14">
        <v>-534</v>
      </c>
      <c r="F49" s="14">
        <v>-996</v>
      </c>
      <c r="G49" s="15">
        <v>-1080</v>
      </c>
      <c r="H49" s="15">
        <v>-1146</v>
      </c>
      <c r="I49" s="15">
        <v>-1095</v>
      </c>
      <c r="J49" s="15">
        <v>-1178</v>
      </c>
      <c r="K49" s="15">
        <v>-1183</v>
      </c>
      <c r="L49" s="15">
        <v>-1194</v>
      </c>
      <c r="M49" s="15">
        <v>-1290</v>
      </c>
      <c r="N49" s="85">
        <v>-3756</v>
      </c>
      <c r="O49" s="85">
        <v>-9695</v>
      </c>
      <c r="P49" s="15"/>
    </row>
    <row r="50" spans="1:16" x14ac:dyDescent="0.35">
      <c r="A50" t="s">
        <v>170</v>
      </c>
      <c r="B50">
        <v>70352</v>
      </c>
      <c r="C50" s="13" t="s">
        <v>308</v>
      </c>
      <c r="D50" s="14">
        <v>0</v>
      </c>
      <c r="E50" s="14">
        <v>393</v>
      </c>
      <c r="F50" s="14">
        <v>393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84">
        <v>785</v>
      </c>
      <c r="O50" s="84">
        <v>785</v>
      </c>
    </row>
    <row r="51" spans="1:16" x14ac:dyDescent="0.35">
      <c r="A51" t="s">
        <v>170</v>
      </c>
      <c r="B51">
        <v>70353</v>
      </c>
      <c r="C51" s="95" t="s">
        <v>309</v>
      </c>
      <c r="D51" s="14">
        <v>0</v>
      </c>
      <c r="E51" s="14">
        <v>-316</v>
      </c>
      <c r="F51" s="14">
        <v>-332</v>
      </c>
      <c r="G51" s="14">
        <v>-347</v>
      </c>
      <c r="H51" s="14">
        <v>-361</v>
      </c>
      <c r="I51" s="14">
        <v>-376</v>
      </c>
      <c r="J51" s="14">
        <v>-393</v>
      </c>
      <c r="K51" s="14">
        <v>-410</v>
      </c>
      <c r="L51" s="14">
        <v>-428</v>
      </c>
      <c r="M51" s="14">
        <v>-446</v>
      </c>
      <c r="N51" s="85">
        <v>-1356</v>
      </c>
      <c r="O51" s="85">
        <v>-3408</v>
      </c>
    </row>
    <row r="52" spans="1:16" x14ac:dyDescent="0.35">
      <c r="A52" t="s">
        <v>170</v>
      </c>
      <c r="B52">
        <v>70354</v>
      </c>
      <c r="C52" s="13" t="s">
        <v>310</v>
      </c>
      <c r="D52" s="14">
        <v>0</v>
      </c>
      <c r="E52" s="14">
        <v>867</v>
      </c>
      <c r="F52" s="15">
        <v>1794</v>
      </c>
      <c r="G52" s="15">
        <v>2210</v>
      </c>
      <c r="H52" s="15">
        <v>2098</v>
      </c>
      <c r="I52" s="15">
        <v>1615</v>
      </c>
      <c r="J52" s="15">
        <v>1808</v>
      </c>
      <c r="K52" s="15">
        <v>1908</v>
      </c>
      <c r="L52" s="15">
        <v>1936</v>
      </c>
      <c r="M52" s="15">
        <v>2094</v>
      </c>
      <c r="N52" s="85">
        <v>6969</v>
      </c>
      <c r="O52" s="85">
        <v>16331</v>
      </c>
    </row>
    <row r="53" spans="1:16" x14ac:dyDescent="0.35">
      <c r="A53" t="s">
        <v>170</v>
      </c>
      <c r="B53">
        <v>70421</v>
      </c>
      <c r="C53" s="13" t="s">
        <v>311</v>
      </c>
      <c r="D53" s="14">
        <v>98</v>
      </c>
      <c r="E53" s="15">
        <v>5048</v>
      </c>
      <c r="F53" s="15">
        <v>28479</v>
      </c>
      <c r="G53" s="15">
        <v>-5390</v>
      </c>
      <c r="H53" s="15">
        <v>-4681</v>
      </c>
      <c r="I53" s="15">
        <v>-2480</v>
      </c>
      <c r="J53" s="15">
        <v>-1416</v>
      </c>
      <c r="K53" s="14">
        <v>127</v>
      </c>
      <c r="L53" s="15">
        <v>7080</v>
      </c>
      <c r="M53" s="15">
        <v>5337</v>
      </c>
      <c r="N53" s="85">
        <v>23554</v>
      </c>
      <c r="O53" s="85">
        <v>32201</v>
      </c>
    </row>
    <row r="54" spans="1:16" x14ac:dyDescent="0.35">
      <c r="A54" t="s">
        <v>170</v>
      </c>
      <c r="C54" s="13" t="s">
        <v>312</v>
      </c>
      <c r="D54">
        <v>-87</v>
      </c>
      <c r="E54" s="81">
        <v>1189</v>
      </c>
      <c r="F54" s="81">
        <v>21509</v>
      </c>
      <c r="G54" s="81">
        <v>-13918</v>
      </c>
      <c r="H54" s="81">
        <v>-13925</v>
      </c>
      <c r="I54" s="81">
        <v>-13714</v>
      </c>
      <c r="J54" s="81">
        <v>-16568</v>
      </c>
      <c r="K54" s="81">
        <v>-17047</v>
      </c>
      <c r="L54" s="81">
        <v>-11911</v>
      </c>
      <c r="M54" s="81">
        <v>-15632</v>
      </c>
      <c r="N54" s="81">
        <v>-5232</v>
      </c>
      <c r="O54" s="81">
        <v>-80109</v>
      </c>
    </row>
    <row r="55" spans="1:16" x14ac:dyDescent="0.35">
      <c r="A55" t="s">
        <v>170</v>
      </c>
      <c r="B55">
        <v>70503</v>
      </c>
      <c r="C55" s="13" t="s">
        <v>313</v>
      </c>
      <c r="D55" s="14">
        <v>0</v>
      </c>
      <c r="E55" s="15">
        <v>8303</v>
      </c>
      <c r="F55" s="15">
        <v>9985</v>
      </c>
      <c r="G55" s="15">
        <v>12184</v>
      </c>
      <c r="H55" s="15">
        <v>14576</v>
      </c>
      <c r="I55" s="15">
        <v>17053</v>
      </c>
      <c r="J55" s="15">
        <v>18653</v>
      </c>
      <c r="K55" s="15">
        <v>20762</v>
      </c>
      <c r="L55" s="15">
        <v>3620</v>
      </c>
      <c r="M55" s="14">
        <v>-621</v>
      </c>
      <c r="N55" s="85">
        <v>45048</v>
      </c>
      <c r="O55" s="85">
        <v>104515</v>
      </c>
    </row>
    <row r="56" spans="1:16" x14ac:dyDescent="0.35">
      <c r="A56" t="s">
        <v>170</v>
      </c>
      <c r="B56">
        <v>70507</v>
      </c>
      <c r="C56" s="13" t="s">
        <v>314</v>
      </c>
      <c r="D56" s="14">
        <v>0</v>
      </c>
      <c r="E56" s="14">
        <v>0</v>
      </c>
      <c r="F56" s="14">
        <v>6</v>
      </c>
      <c r="G56" s="14">
        <v>16</v>
      </c>
      <c r="H56" s="14">
        <v>19</v>
      </c>
      <c r="I56" s="14">
        <v>19</v>
      </c>
      <c r="J56" s="14">
        <v>19</v>
      </c>
      <c r="K56" s="14">
        <v>19</v>
      </c>
      <c r="L56" s="14">
        <v>19</v>
      </c>
      <c r="M56" s="14">
        <v>19</v>
      </c>
      <c r="N56" s="84">
        <v>41</v>
      </c>
      <c r="O56" s="84">
        <v>134</v>
      </c>
    </row>
    <row r="57" spans="1:16" x14ac:dyDescent="0.35">
      <c r="A57" t="s">
        <v>170</v>
      </c>
      <c r="B57">
        <v>70508</v>
      </c>
      <c r="C57" s="13" t="s">
        <v>315</v>
      </c>
      <c r="D57" s="14">
        <v>0</v>
      </c>
      <c r="E57" s="14">
        <v>104</v>
      </c>
      <c r="F57" s="14">
        <v>489</v>
      </c>
      <c r="G57" s="14">
        <v>719</v>
      </c>
      <c r="H57" s="14">
        <v>770</v>
      </c>
      <c r="I57" s="14">
        <v>807</v>
      </c>
      <c r="J57" s="14">
        <v>832</v>
      </c>
      <c r="K57" s="14">
        <v>840</v>
      </c>
      <c r="L57" s="14">
        <v>625</v>
      </c>
      <c r="M57" s="14">
        <v>259</v>
      </c>
      <c r="N57" s="85">
        <v>2082</v>
      </c>
      <c r="O57" s="85">
        <v>5444</v>
      </c>
    </row>
    <row r="58" spans="1:16" x14ac:dyDescent="0.35">
      <c r="A58" t="s">
        <v>170</v>
      </c>
      <c r="B58">
        <v>70509</v>
      </c>
      <c r="C58" s="13" t="s">
        <v>316</v>
      </c>
      <c r="D58" s="14">
        <v>4</v>
      </c>
      <c r="E58" s="14">
        <v>57</v>
      </c>
      <c r="F58" s="14">
        <v>77</v>
      </c>
      <c r="G58" s="14">
        <v>63</v>
      </c>
      <c r="H58" s="14">
        <v>52</v>
      </c>
      <c r="I58" s="14">
        <v>45</v>
      </c>
      <c r="J58" s="14">
        <v>29</v>
      </c>
      <c r="K58" s="14">
        <v>7</v>
      </c>
      <c r="L58" s="14">
        <v>-5</v>
      </c>
      <c r="M58" s="14">
        <v>-1</v>
      </c>
      <c r="N58" s="84">
        <v>253</v>
      </c>
      <c r="O58" s="84">
        <v>324</v>
      </c>
    </row>
    <row r="59" spans="1:16" x14ac:dyDescent="0.35">
      <c r="A59" t="s">
        <v>170</v>
      </c>
      <c r="B59">
        <v>70511</v>
      </c>
      <c r="C59" s="13" t="s">
        <v>279</v>
      </c>
      <c r="D59" s="14">
        <v>0</v>
      </c>
      <c r="E59" s="14">
        <v>0</v>
      </c>
      <c r="F59" s="14">
        <v>0</v>
      </c>
      <c r="G59" s="14">
        <v>0</v>
      </c>
      <c r="H59" s="14">
        <v>10</v>
      </c>
      <c r="I59" s="14">
        <v>59</v>
      </c>
      <c r="J59" s="14">
        <v>203</v>
      </c>
      <c r="K59" s="14">
        <v>527</v>
      </c>
      <c r="L59" s="14">
        <v>830</v>
      </c>
      <c r="M59" s="15">
        <v>1085</v>
      </c>
      <c r="N59" s="84">
        <v>10</v>
      </c>
      <c r="O59" s="85">
        <v>2714</v>
      </c>
    </row>
    <row r="60" spans="1:16" x14ac:dyDescent="0.35">
      <c r="A60" t="s">
        <v>170</v>
      </c>
      <c r="B60">
        <v>70512</v>
      </c>
      <c r="C60" s="13" t="s">
        <v>317</v>
      </c>
      <c r="D60" s="14">
        <v>0</v>
      </c>
      <c r="E60" s="14">
        <v>0</v>
      </c>
      <c r="F60" s="14">
        <v>0</v>
      </c>
      <c r="G60" s="14">
        <v>0</v>
      </c>
      <c r="H60" s="14">
        <v>10</v>
      </c>
      <c r="I60" s="14">
        <v>59</v>
      </c>
      <c r="J60" s="14">
        <v>203</v>
      </c>
      <c r="K60" s="14">
        <v>527</v>
      </c>
      <c r="L60" s="14">
        <v>830</v>
      </c>
      <c r="M60" s="15">
        <v>1085</v>
      </c>
      <c r="N60" s="84">
        <v>10</v>
      </c>
      <c r="O60" s="85">
        <v>2714</v>
      </c>
    </row>
    <row r="61" spans="1:16" x14ac:dyDescent="0.35">
      <c r="A61" t="s">
        <v>170</v>
      </c>
      <c r="B61">
        <v>70513</v>
      </c>
      <c r="C61" s="13" t="s">
        <v>318</v>
      </c>
      <c r="D61" s="14">
        <v>0</v>
      </c>
      <c r="E61" s="14">
        <v>281</v>
      </c>
      <c r="F61" s="15">
        <v>8019</v>
      </c>
      <c r="G61" s="15">
        <v>12148</v>
      </c>
      <c r="H61" s="15">
        <v>16550</v>
      </c>
      <c r="I61" s="15">
        <v>21572</v>
      </c>
      <c r="J61" s="15">
        <v>24392</v>
      </c>
      <c r="K61" s="15">
        <v>25660</v>
      </c>
      <c r="L61" s="15">
        <v>26832</v>
      </c>
      <c r="M61" s="15">
        <v>28574</v>
      </c>
      <c r="N61" s="85">
        <v>36998</v>
      </c>
      <c r="O61" s="85">
        <v>164026</v>
      </c>
    </row>
    <row r="62" spans="1:16" x14ac:dyDescent="0.35">
      <c r="A62" t="s">
        <v>170</v>
      </c>
      <c r="B62">
        <v>70514</v>
      </c>
      <c r="C62" s="13" t="s">
        <v>174</v>
      </c>
      <c r="D62" s="14">
        <v>-28</v>
      </c>
      <c r="E62" s="15">
        <v>1729</v>
      </c>
      <c r="F62" s="15">
        <v>6202</v>
      </c>
      <c r="G62" s="15">
        <v>9076</v>
      </c>
      <c r="H62" s="15">
        <v>8665</v>
      </c>
      <c r="I62" s="15">
        <v>7688</v>
      </c>
      <c r="J62" s="15">
        <v>6000</v>
      </c>
      <c r="K62" s="15">
        <v>4871</v>
      </c>
      <c r="L62" s="15">
        <v>3824</v>
      </c>
      <c r="M62" s="15">
        <v>1178</v>
      </c>
      <c r="N62" s="85">
        <v>25644</v>
      </c>
      <c r="O62" s="85">
        <v>49205</v>
      </c>
    </row>
    <row r="63" spans="1:16" x14ac:dyDescent="0.35">
      <c r="A63" t="s">
        <v>170</v>
      </c>
      <c r="B63">
        <v>70521</v>
      </c>
      <c r="C63" s="95" t="s">
        <v>319</v>
      </c>
      <c r="D63" s="14">
        <v>-26</v>
      </c>
      <c r="E63" s="15">
        <v>-1110</v>
      </c>
      <c r="F63" s="15">
        <v>-2093</v>
      </c>
      <c r="G63" s="15">
        <v>-6227</v>
      </c>
      <c r="H63" s="15">
        <v>-10455</v>
      </c>
      <c r="I63" s="15">
        <v>-5551</v>
      </c>
      <c r="J63" s="15">
        <v>-387</v>
      </c>
      <c r="K63" s="15">
        <v>52</v>
      </c>
      <c r="L63" s="15">
        <v>55</v>
      </c>
      <c r="M63" s="15">
        <v>58</v>
      </c>
      <c r="N63" s="85">
        <v>-19911</v>
      </c>
      <c r="O63" s="85">
        <v>-25683</v>
      </c>
    </row>
    <row r="64" spans="1:16" x14ac:dyDescent="0.35">
      <c r="A64" t="s">
        <v>170</v>
      </c>
      <c r="B64">
        <v>70522</v>
      </c>
      <c r="C64" s="95" t="s">
        <v>320</v>
      </c>
      <c r="D64" s="17">
        <v>-179</v>
      </c>
      <c r="E64" s="15">
        <v>-364</v>
      </c>
      <c r="F64" s="15">
        <v>-561</v>
      </c>
      <c r="G64" s="15">
        <v>-801</v>
      </c>
      <c r="H64" s="15">
        <v>-1084</v>
      </c>
      <c r="I64" s="15">
        <v>-1425</v>
      </c>
      <c r="J64" s="15">
        <v>-1797</v>
      </c>
      <c r="K64" s="15">
        <v>-2215</v>
      </c>
      <c r="L64" s="15">
        <v>-2666</v>
      </c>
      <c r="M64" s="15">
        <v>-3135</v>
      </c>
      <c r="N64" s="85">
        <v>-2989</v>
      </c>
      <c r="O64" s="85">
        <v>-14228</v>
      </c>
    </row>
    <row r="65" spans="1:15" x14ac:dyDescent="0.35">
      <c r="A65" t="s">
        <v>170</v>
      </c>
      <c r="B65">
        <v>70523</v>
      </c>
      <c r="C65" s="95" t="s">
        <v>321</v>
      </c>
      <c r="D65" s="17">
        <v>0</v>
      </c>
      <c r="E65" s="14">
        <v>-25</v>
      </c>
      <c r="F65" s="14">
        <v>-29</v>
      </c>
      <c r="G65" s="14">
        <v>-29</v>
      </c>
      <c r="H65" s="14">
        <v>-44</v>
      </c>
      <c r="I65" s="14">
        <v>-65</v>
      </c>
      <c r="J65" s="14">
        <v>-66</v>
      </c>
      <c r="K65" s="14">
        <v>-66</v>
      </c>
      <c r="L65" s="14">
        <v>-53</v>
      </c>
      <c r="M65" s="14">
        <v>-49</v>
      </c>
      <c r="N65" s="84">
        <v>-127</v>
      </c>
      <c r="O65" s="84">
        <v>-427</v>
      </c>
    </row>
    <row r="66" spans="1:15" x14ac:dyDescent="0.35">
      <c r="A66" t="s">
        <v>170</v>
      </c>
      <c r="B66">
        <v>70524</v>
      </c>
      <c r="C66" s="13" t="s">
        <v>322</v>
      </c>
      <c r="D66" s="14">
        <v>0</v>
      </c>
      <c r="E66" s="14">
        <v>-157</v>
      </c>
      <c r="F66" s="14">
        <v>-325</v>
      </c>
      <c r="G66" s="14">
        <v>-343</v>
      </c>
      <c r="H66" s="14">
        <v>-358</v>
      </c>
      <c r="I66" s="14">
        <v>-374</v>
      </c>
      <c r="J66" s="14">
        <v>-391</v>
      </c>
      <c r="K66" s="14">
        <v>-409</v>
      </c>
      <c r="L66" s="14">
        <v>-427</v>
      </c>
      <c r="M66" s="14">
        <v>-446</v>
      </c>
      <c r="N66" s="85">
        <v>-1183</v>
      </c>
      <c r="O66" s="85">
        <v>-3230</v>
      </c>
    </row>
    <row r="67" spans="1:15" x14ac:dyDescent="0.35">
      <c r="A67" t="s">
        <v>170</v>
      </c>
      <c r="B67">
        <v>70531</v>
      </c>
      <c r="C67" s="13" t="s">
        <v>180</v>
      </c>
      <c r="D67" s="14">
        <v>0</v>
      </c>
      <c r="E67" s="14">
        <v>0</v>
      </c>
      <c r="F67" s="15">
        <v>1268</v>
      </c>
      <c r="G67" s="15">
        <v>5118</v>
      </c>
      <c r="H67" s="15">
        <v>5184</v>
      </c>
      <c r="I67" s="15">
        <v>5280</v>
      </c>
      <c r="J67" s="15">
        <v>5406</v>
      </c>
      <c r="K67" s="15">
        <v>5551</v>
      </c>
      <c r="L67" s="15">
        <v>5689</v>
      </c>
      <c r="M67" s="15">
        <v>5834</v>
      </c>
      <c r="N67" s="85">
        <v>11570</v>
      </c>
      <c r="O67" s="85">
        <v>39330</v>
      </c>
    </row>
    <row r="68" spans="1:15" x14ac:dyDescent="0.35">
      <c r="D68" s="89">
        <f t="shared" ref="D68:O68" si="0">SUM(D31:D67)</f>
        <v>-100252</v>
      </c>
      <c r="E68" s="89">
        <f t="shared" si="0"/>
        <v>-114329</v>
      </c>
      <c r="F68" s="89">
        <f t="shared" si="0"/>
        <v>-28938</v>
      </c>
      <c r="G68" s="89">
        <f t="shared" si="0"/>
        <v>-71526</v>
      </c>
      <c r="H68" s="89">
        <f t="shared" si="0"/>
        <v>-46065</v>
      </c>
      <c r="I68" s="89">
        <f t="shared" si="0"/>
        <v>-9666</v>
      </c>
      <c r="J68" s="89">
        <f t="shared" si="0"/>
        <v>15121</v>
      </c>
      <c r="K68" s="89">
        <f t="shared" si="0"/>
        <v>26875</v>
      </c>
      <c r="L68" s="89">
        <f t="shared" si="0"/>
        <v>23700</v>
      </c>
      <c r="M68" s="89">
        <f t="shared" si="0"/>
        <v>13128</v>
      </c>
      <c r="N68" s="89">
        <f t="shared" si="0"/>
        <v>-361111</v>
      </c>
      <c r="O68" s="89">
        <f t="shared" si="0"/>
        <v>-291964</v>
      </c>
    </row>
    <row r="71" spans="1:15" x14ac:dyDescent="0.35">
      <c r="A71" s="86" t="s">
        <v>323</v>
      </c>
    </row>
    <row r="72" spans="1:15" x14ac:dyDescent="0.35">
      <c r="A72" t="s">
        <v>160</v>
      </c>
      <c r="B72">
        <v>70101</v>
      </c>
      <c r="C72" t="s">
        <v>161</v>
      </c>
      <c r="D72" s="9">
        <v>0</v>
      </c>
      <c r="E72" s="52">
        <v>0</v>
      </c>
      <c r="F72" s="52">
        <v>50</v>
      </c>
      <c r="G72" s="52">
        <v>48</v>
      </c>
      <c r="H72" s="52">
        <v>48</v>
      </c>
      <c r="I72" s="52">
        <v>50</v>
      </c>
      <c r="J72" s="52">
        <v>52</v>
      </c>
      <c r="K72" s="52">
        <v>49</v>
      </c>
      <c r="L72" s="52">
        <v>52</v>
      </c>
      <c r="M72" s="52">
        <v>51</v>
      </c>
      <c r="N72" s="53">
        <v>146</v>
      </c>
      <c r="O72" s="53">
        <v>400</v>
      </c>
    </row>
    <row r="73" spans="1:15" x14ac:dyDescent="0.35">
      <c r="A73" t="s">
        <v>160</v>
      </c>
      <c r="B73">
        <v>70102</v>
      </c>
      <c r="C73" t="s">
        <v>162</v>
      </c>
      <c r="D73" s="9">
        <v>0</v>
      </c>
      <c r="E73" s="52">
        <v>1719</v>
      </c>
      <c r="F73" s="52">
        <v>1620</v>
      </c>
      <c r="G73" s="52">
        <v>1610</v>
      </c>
      <c r="H73" s="52">
        <v>1614</v>
      </c>
      <c r="I73" s="52">
        <v>1633</v>
      </c>
      <c r="J73" s="52">
        <v>1712</v>
      </c>
      <c r="K73" s="52">
        <v>1704</v>
      </c>
      <c r="L73" s="52">
        <v>1820</v>
      </c>
      <c r="M73" s="52">
        <v>1856</v>
      </c>
      <c r="N73" s="53">
        <v>6563</v>
      </c>
      <c r="O73" s="53">
        <v>15288</v>
      </c>
    </row>
    <row r="74" spans="1:15" x14ac:dyDescent="0.35">
      <c r="A74" t="s">
        <v>160</v>
      </c>
      <c r="B74">
        <v>70103</v>
      </c>
      <c r="C74" t="s">
        <v>163</v>
      </c>
      <c r="D74" s="9">
        <v>0</v>
      </c>
      <c r="E74" s="52">
        <v>411</v>
      </c>
      <c r="F74" s="52">
        <v>227</v>
      </c>
      <c r="G74" s="52">
        <v>221</v>
      </c>
      <c r="H74" s="52">
        <v>221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3">
        <v>1080</v>
      </c>
      <c r="O74" s="53">
        <v>1080</v>
      </c>
    </row>
    <row r="75" spans="1:15" x14ac:dyDescent="0.35">
      <c r="A75" t="s">
        <v>160</v>
      </c>
      <c r="B75">
        <v>70104</v>
      </c>
      <c r="C75" t="s">
        <v>164</v>
      </c>
      <c r="D75" s="9">
        <v>0</v>
      </c>
      <c r="E75" s="52">
        <v>1343</v>
      </c>
      <c r="F75" s="52">
        <v>1239</v>
      </c>
      <c r="G75" s="52">
        <v>1278</v>
      </c>
      <c r="H75" s="52">
        <v>2639</v>
      </c>
      <c r="I75" s="52">
        <v>2774</v>
      </c>
      <c r="J75" s="52">
        <v>4089</v>
      </c>
      <c r="K75" s="52">
        <v>4019</v>
      </c>
      <c r="L75" s="52">
        <v>5492</v>
      </c>
      <c r="M75" s="52">
        <v>5444</v>
      </c>
      <c r="N75" s="53">
        <v>6499</v>
      </c>
      <c r="O75" s="53">
        <v>28317</v>
      </c>
    </row>
    <row r="76" spans="1:15" x14ac:dyDescent="0.35">
      <c r="A76" t="s">
        <v>160</v>
      </c>
      <c r="B76">
        <v>70108</v>
      </c>
      <c r="C76" t="s">
        <v>290</v>
      </c>
      <c r="D76" s="9">
        <v>0</v>
      </c>
      <c r="E76" s="52">
        <v>0</v>
      </c>
      <c r="F76" s="52">
        <v>0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52">
        <v>0</v>
      </c>
      <c r="M76" s="52">
        <v>0</v>
      </c>
      <c r="N76" s="53">
        <v>0</v>
      </c>
      <c r="O76" s="53">
        <v>0</v>
      </c>
    </row>
    <row r="77" spans="1:15" x14ac:dyDescent="0.35">
      <c r="A77" t="s">
        <v>160</v>
      </c>
      <c r="B77">
        <v>70204</v>
      </c>
      <c r="C77" t="s">
        <v>167</v>
      </c>
      <c r="D77" s="9">
        <v>731</v>
      </c>
      <c r="E77" s="9">
        <v>6628</v>
      </c>
      <c r="F77" s="9">
        <v>3700</v>
      </c>
      <c r="G77" s="9">
        <v>3685</v>
      </c>
      <c r="H77" s="9">
        <v>45</v>
      </c>
      <c r="I77" s="9">
        <v>45</v>
      </c>
      <c r="J77" s="9">
        <v>45</v>
      </c>
      <c r="K77" s="9">
        <v>45</v>
      </c>
      <c r="L77" s="9">
        <v>45</v>
      </c>
      <c r="M77" s="9">
        <v>40</v>
      </c>
      <c r="N77" s="55">
        <v>14789</v>
      </c>
      <c r="O77" s="55">
        <v>15009</v>
      </c>
    </row>
    <row r="78" spans="1:15" x14ac:dyDescent="0.35">
      <c r="A78" t="s">
        <v>160</v>
      </c>
      <c r="B78">
        <v>70402</v>
      </c>
      <c r="C78" t="s">
        <v>168</v>
      </c>
      <c r="D78" s="9">
        <v>185</v>
      </c>
      <c r="E78" s="9">
        <v>410</v>
      </c>
      <c r="F78" s="9">
        <v>293</v>
      </c>
      <c r="G78" s="9">
        <v>293</v>
      </c>
      <c r="H78" s="9">
        <v>178</v>
      </c>
      <c r="I78" s="9">
        <v>179</v>
      </c>
      <c r="J78" s="9">
        <v>179</v>
      </c>
      <c r="K78" s="9">
        <v>180</v>
      </c>
      <c r="L78" s="9">
        <v>181</v>
      </c>
      <c r="M78" s="9">
        <v>182</v>
      </c>
      <c r="N78" s="55">
        <v>1359</v>
      </c>
      <c r="O78" s="55">
        <v>2260</v>
      </c>
    </row>
    <row r="79" spans="1:15" x14ac:dyDescent="0.35">
      <c r="A79" t="s">
        <v>160</v>
      </c>
      <c r="B79">
        <v>70405</v>
      </c>
      <c r="C79" t="s">
        <v>169</v>
      </c>
      <c r="D79" s="83">
        <v>0</v>
      </c>
      <c r="E79" s="83">
        <v>0</v>
      </c>
      <c r="F79" s="83">
        <v>383</v>
      </c>
      <c r="G79" s="83">
        <v>401</v>
      </c>
      <c r="H79" s="83">
        <v>386</v>
      </c>
      <c r="I79" s="83">
        <v>401</v>
      </c>
      <c r="J79" s="83">
        <v>387</v>
      </c>
      <c r="K79" s="83">
        <v>383</v>
      </c>
      <c r="L79" s="83">
        <v>388</v>
      </c>
      <c r="M79" s="83">
        <v>383</v>
      </c>
      <c r="N79" s="55">
        <v>1170</v>
      </c>
      <c r="O79" s="55">
        <v>3112</v>
      </c>
    </row>
    <row r="80" spans="1:15" x14ac:dyDescent="0.35">
      <c r="A80" t="s">
        <v>170</v>
      </c>
      <c r="B80">
        <v>70427</v>
      </c>
      <c r="C80" t="s">
        <v>171</v>
      </c>
      <c r="D80" s="9">
        <v>0</v>
      </c>
      <c r="E80" s="9">
        <v>251</v>
      </c>
      <c r="F80" s="9">
        <v>208</v>
      </c>
      <c r="G80" s="9">
        <v>208</v>
      </c>
      <c r="H80" s="9">
        <v>208</v>
      </c>
      <c r="I80" s="9">
        <v>208</v>
      </c>
      <c r="J80" s="9">
        <v>208</v>
      </c>
      <c r="K80" s="9">
        <v>208</v>
      </c>
      <c r="L80" s="9">
        <v>208</v>
      </c>
      <c r="M80" s="9">
        <v>208</v>
      </c>
      <c r="N80" s="55">
        <v>875</v>
      </c>
      <c r="O80" s="55">
        <v>1915</v>
      </c>
    </row>
    <row r="81" spans="1:15" x14ac:dyDescent="0.35">
      <c r="A81" t="s">
        <v>160</v>
      </c>
      <c r="B81">
        <v>70501</v>
      </c>
      <c r="C81" t="s">
        <v>172</v>
      </c>
      <c r="D81" s="9">
        <v>0</v>
      </c>
      <c r="E81" s="9">
        <v>43</v>
      </c>
      <c r="F81" s="9">
        <v>174</v>
      </c>
      <c r="G81" s="9">
        <v>217</v>
      </c>
      <c r="H81" s="9">
        <v>345</v>
      </c>
      <c r="I81" s="9">
        <v>454</v>
      </c>
      <c r="J81" s="9">
        <v>519</v>
      </c>
      <c r="K81" s="9">
        <v>637</v>
      </c>
      <c r="L81" s="9">
        <v>584</v>
      </c>
      <c r="M81" s="9">
        <v>0</v>
      </c>
      <c r="N81" s="55">
        <v>779</v>
      </c>
      <c r="O81" s="55">
        <v>2972</v>
      </c>
    </row>
    <row r="82" spans="1:15" x14ac:dyDescent="0.35">
      <c r="A82" t="s">
        <v>160</v>
      </c>
      <c r="B82">
        <v>70502</v>
      </c>
      <c r="C82" t="s">
        <v>173</v>
      </c>
      <c r="D82" s="9">
        <v>0</v>
      </c>
      <c r="E82" s="9">
        <v>-966</v>
      </c>
      <c r="F82" s="9">
        <v>-2932</v>
      </c>
      <c r="G82" s="9">
        <v>-7098</v>
      </c>
      <c r="H82" s="9">
        <v>-11729</v>
      </c>
      <c r="I82" s="9">
        <v>-14008</v>
      </c>
      <c r="J82" s="9">
        <v>-15700</v>
      </c>
      <c r="K82" s="9">
        <v>-17613</v>
      </c>
      <c r="L82" s="9">
        <v>0</v>
      </c>
      <c r="M82" s="9">
        <v>0</v>
      </c>
      <c r="N82" s="55">
        <v>-22725</v>
      </c>
      <c r="O82" s="55">
        <v>-70046</v>
      </c>
    </row>
    <row r="83" spans="1:15" x14ac:dyDescent="0.35">
      <c r="A83" t="s">
        <v>170</v>
      </c>
      <c r="B83">
        <v>70514</v>
      </c>
      <c r="C83" t="s">
        <v>174</v>
      </c>
      <c r="D83" s="52">
        <v>-28</v>
      </c>
      <c r="E83" s="52">
        <v>-97</v>
      </c>
      <c r="F83" s="52">
        <v>-141</v>
      </c>
      <c r="G83" s="52">
        <v>-134</v>
      </c>
      <c r="H83" s="52">
        <v>-119</v>
      </c>
      <c r="I83" s="52">
        <v>-92</v>
      </c>
      <c r="J83" s="52">
        <v>-74</v>
      </c>
      <c r="K83" s="52">
        <v>-58</v>
      </c>
      <c r="L83" s="52">
        <v>-18</v>
      </c>
      <c r="M83" s="52">
        <v>0</v>
      </c>
      <c r="N83" s="53">
        <v>-519</v>
      </c>
      <c r="O83" s="53">
        <v>-761</v>
      </c>
    </row>
    <row r="84" spans="1:15" x14ac:dyDescent="0.35">
      <c r="A84" t="s">
        <v>160</v>
      </c>
      <c r="B84">
        <v>71301</v>
      </c>
      <c r="C84" t="s">
        <v>175</v>
      </c>
      <c r="D84" s="9">
        <v>0</v>
      </c>
      <c r="E84" s="9">
        <v>0</v>
      </c>
      <c r="F84" s="9">
        <v>-5453</v>
      </c>
      <c r="G84" s="9">
        <v>-7923</v>
      </c>
      <c r="H84" s="9">
        <v>-8399</v>
      </c>
      <c r="I84" s="9">
        <v>-8796</v>
      </c>
      <c r="J84" s="9">
        <v>-9254</v>
      </c>
      <c r="K84" s="9">
        <v>-9713</v>
      </c>
      <c r="L84" s="9">
        <v>-9971</v>
      </c>
      <c r="M84" s="9">
        <v>-10256</v>
      </c>
      <c r="N84" s="55">
        <v>-21775</v>
      </c>
      <c r="O84" s="55">
        <v>-69765</v>
      </c>
    </row>
    <row r="85" spans="1:15" x14ac:dyDescent="0.35">
      <c r="A85" t="s">
        <v>160</v>
      </c>
      <c r="B85">
        <v>71302</v>
      </c>
      <c r="C85" t="s">
        <v>176</v>
      </c>
      <c r="D85" s="9">
        <v>0</v>
      </c>
      <c r="E85" s="9">
        <v>-3307</v>
      </c>
      <c r="F85" s="9">
        <v>-4746</v>
      </c>
      <c r="G85" s="9">
        <v>-5159</v>
      </c>
      <c r="H85" s="9">
        <v>-5426</v>
      </c>
      <c r="I85" s="9">
        <v>-5621</v>
      </c>
      <c r="J85" s="9">
        <v>-5913</v>
      </c>
      <c r="K85" s="9">
        <v>-6224</v>
      </c>
      <c r="L85" s="9">
        <v>-6436</v>
      </c>
      <c r="M85" s="9">
        <v>-6695</v>
      </c>
      <c r="N85" s="55">
        <v>-18638</v>
      </c>
      <c r="O85" s="55">
        <v>-49527</v>
      </c>
    </row>
    <row r="86" spans="1:15" x14ac:dyDescent="0.35">
      <c r="A86" t="s">
        <v>160</v>
      </c>
      <c r="B86">
        <v>71303</v>
      </c>
      <c r="C86" t="s">
        <v>177</v>
      </c>
      <c r="D86" s="9">
        <v>0</v>
      </c>
      <c r="E86" s="9">
        <v>0</v>
      </c>
      <c r="F86" s="9">
        <v>0</v>
      </c>
      <c r="G86" s="9">
        <v>-3521</v>
      </c>
      <c r="H86" s="9">
        <v>-5124</v>
      </c>
      <c r="I86" s="9">
        <v>-5161</v>
      </c>
      <c r="J86" s="9">
        <v>-5353</v>
      </c>
      <c r="K86" s="9">
        <v>-5560</v>
      </c>
      <c r="L86" s="9">
        <v>-5895</v>
      </c>
      <c r="M86" s="9">
        <v>-6316</v>
      </c>
      <c r="N86" s="55">
        <v>-8645</v>
      </c>
      <c r="O86" s="55">
        <v>-36930</v>
      </c>
    </row>
    <row r="87" spans="1:15" x14ac:dyDescent="0.35">
      <c r="A87" t="s">
        <v>160</v>
      </c>
      <c r="B87">
        <v>71304</v>
      </c>
      <c r="C87" t="s">
        <v>178</v>
      </c>
      <c r="D87" s="9">
        <v>0</v>
      </c>
      <c r="E87" s="9">
        <v>-1587</v>
      </c>
      <c r="F87" s="9">
        <v>-3293</v>
      </c>
      <c r="G87" s="9">
        <v>-4534</v>
      </c>
      <c r="H87" s="9">
        <v>-4963</v>
      </c>
      <c r="I87" s="9">
        <v>-4833</v>
      </c>
      <c r="J87" s="9">
        <v>-4810</v>
      </c>
      <c r="K87" s="9">
        <v>-4867</v>
      </c>
      <c r="L87" s="9">
        <v>-5191</v>
      </c>
      <c r="M87" s="9">
        <v>-5404</v>
      </c>
      <c r="N87" s="55">
        <v>-14377</v>
      </c>
      <c r="O87" s="55">
        <v>-39482</v>
      </c>
    </row>
    <row r="88" spans="1:15" x14ac:dyDescent="0.35">
      <c r="A88" t="s">
        <v>160</v>
      </c>
      <c r="B88">
        <v>71305</v>
      </c>
      <c r="C88" t="s">
        <v>179</v>
      </c>
      <c r="D88" s="9">
        <v>0</v>
      </c>
      <c r="E88" s="9">
        <v>-39</v>
      </c>
      <c r="F88" s="9">
        <v>-1973</v>
      </c>
      <c r="G88" s="9">
        <v>-1958</v>
      </c>
      <c r="H88" s="9">
        <v>-2106</v>
      </c>
      <c r="I88" s="9">
        <v>-2132</v>
      </c>
      <c r="J88" s="9">
        <v>-2181</v>
      </c>
      <c r="K88" s="9">
        <v>-2242</v>
      </c>
      <c r="L88" s="9">
        <v>-2264</v>
      </c>
      <c r="M88" s="9">
        <v>-2371</v>
      </c>
      <c r="N88" s="55">
        <v>-6076</v>
      </c>
      <c r="O88" s="55">
        <v>-17264</v>
      </c>
    </row>
    <row r="89" spans="1:15" x14ac:dyDescent="0.35">
      <c r="D89" s="9"/>
      <c r="E89" s="9"/>
      <c r="F89" s="9"/>
      <c r="G89" s="9"/>
      <c r="H89" s="9"/>
      <c r="I89" s="9"/>
      <c r="J89" s="9"/>
      <c r="K89" s="9"/>
      <c r="L89" s="9"/>
      <c r="M89" s="9"/>
      <c r="N89" s="102"/>
      <c r="O89" s="102"/>
    </row>
    <row r="90" spans="1:15" x14ac:dyDescent="0.35">
      <c r="A90" s="13" t="s">
        <v>165</v>
      </c>
      <c r="B90" s="13">
        <v>70120</v>
      </c>
      <c r="C90" s="13" t="s">
        <v>166</v>
      </c>
      <c r="D90" s="9">
        <v>0</v>
      </c>
      <c r="E90" s="52">
        <v>188</v>
      </c>
      <c r="F90" s="52">
        <v>-70</v>
      </c>
      <c r="G90" s="52">
        <v>-29</v>
      </c>
      <c r="H90" s="52">
        <v>-12</v>
      </c>
      <c r="I90" s="52">
        <v>-38</v>
      </c>
      <c r="J90" s="52">
        <v>-172</v>
      </c>
      <c r="K90" s="52" t="s">
        <v>181</v>
      </c>
      <c r="L90" s="52" t="s">
        <v>181</v>
      </c>
      <c r="M90" s="52" t="s">
        <v>181</v>
      </c>
      <c r="N90" s="50">
        <v>77</v>
      </c>
      <c r="O90" s="50">
        <v>-133</v>
      </c>
    </row>
    <row r="91" spans="1:15" x14ac:dyDescent="0.35">
      <c r="D91" s="9"/>
      <c r="E91" s="9"/>
      <c r="F91" s="9"/>
      <c r="G91" s="9"/>
      <c r="H91" s="9"/>
      <c r="I91" s="9"/>
      <c r="J91" s="9"/>
      <c r="K91" s="9"/>
      <c r="L91" s="9"/>
      <c r="M91" s="9"/>
      <c r="N91" s="103"/>
      <c r="O91" s="103"/>
    </row>
    <row r="92" spans="1:15" x14ac:dyDescent="0.35">
      <c r="A92" t="s">
        <v>170</v>
      </c>
      <c r="B92">
        <v>70531</v>
      </c>
      <c r="C92" t="s">
        <v>180</v>
      </c>
      <c r="D92" s="9">
        <v>0</v>
      </c>
      <c r="E92" s="9">
        <v>0</v>
      </c>
      <c r="F92" s="9">
        <v>-57</v>
      </c>
      <c r="G92" s="9">
        <v>-231</v>
      </c>
      <c r="H92" s="9">
        <v>-233</v>
      </c>
      <c r="I92" s="9">
        <v>-237</v>
      </c>
      <c r="J92" s="9">
        <v>-243</v>
      </c>
      <c r="K92" s="9">
        <v>0</v>
      </c>
      <c r="L92" s="9">
        <v>0</v>
      </c>
      <c r="M92" s="9">
        <v>0</v>
      </c>
      <c r="N92" s="55">
        <v>-521</v>
      </c>
      <c r="O92" s="55">
        <v>-1001</v>
      </c>
    </row>
    <row r="94" spans="1:15" x14ac:dyDescent="0.35">
      <c r="C94" t="s">
        <v>324</v>
      </c>
    </row>
    <row r="96" spans="1:15" ht="15" customHeight="1" x14ac:dyDescent="0.35">
      <c r="A96" s="86" t="s">
        <v>325</v>
      </c>
      <c r="D96" s="118" t="s">
        <v>326</v>
      </c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</row>
    <row r="97" spans="1:15" x14ac:dyDescent="0.35">
      <c r="A97" t="s">
        <v>160</v>
      </c>
      <c r="B97">
        <v>70101</v>
      </c>
      <c r="C97" s="13" t="s">
        <v>161</v>
      </c>
      <c r="D97" s="81">
        <f t="shared" ref="D97:O97" si="1">D72-D3</f>
        <v>0</v>
      </c>
      <c r="E97" s="81">
        <f t="shared" si="1"/>
        <v>4948</v>
      </c>
      <c r="F97" s="81">
        <f t="shared" si="1"/>
        <v>7317</v>
      </c>
      <c r="G97" s="81">
        <f t="shared" si="1"/>
        <v>7679</v>
      </c>
      <c r="H97" s="81">
        <f t="shared" si="1"/>
        <v>8107</v>
      </c>
      <c r="I97" s="81">
        <f t="shared" si="1"/>
        <v>8388</v>
      </c>
      <c r="J97" s="81">
        <f t="shared" si="1"/>
        <v>8727</v>
      </c>
      <c r="K97" s="81">
        <f t="shared" si="1"/>
        <v>9009</v>
      </c>
      <c r="L97" s="81">
        <f t="shared" si="1"/>
        <v>9355</v>
      </c>
      <c r="M97" s="81">
        <f t="shared" si="1"/>
        <v>9831</v>
      </c>
      <c r="N97" s="81">
        <f t="shared" si="1"/>
        <v>28051</v>
      </c>
      <c r="O97" s="81">
        <f t="shared" si="1"/>
        <v>73361</v>
      </c>
    </row>
    <row r="98" spans="1:15" x14ac:dyDescent="0.35">
      <c r="A98" t="s">
        <v>160</v>
      </c>
      <c r="B98">
        <v>70102</v>
      </c>
      <c r="C98" s="13" t="s">
        <v>162</v>
      </c>
      <c r="D98" s="81">
        <f t="shared" ref="D98:O98" si="2">D73-D4</f>
        <v>7544</v>
      </c>
      <c r="E98" s="81">
        <f t="shared" si="2"/>
        <v>18959</v>
      </c>
      <c r="F98" s="81">
        <f t="shared" si="2"/>
        <v>19314</v>
      </c>
      <c r="G98" s="81">
        <f t="shared" si="2"/>
        <v>19834</v>
      </c>
      <c r="H98" s="81">
        <f t="shared" si="2"/>
        <v>20383</v>
      </c>
      <c r="I98" s="81">
        <f t="shared" si="2"/>
        <v>21449</v>
      </c>
      <c r="J98" s="81">
        <f t="shared" si="2"/>
        <v>22726</v>
      </c>
      <c r="K98" s="81">
        <f t="shared" si="2"/>
        <v>23777</v>
      </c>
      <c r="L98" s="81">
        <f t="shared" si="2"/>
        <v>25174</v>
      </c>
      <c r="M98" s="81">
        <f t="shared" si="2"/>
        <v>25742</v>
      </c>
      <c r="N98" s="81">
        <f t="shared" si="2"/>
        <v>86034</v>
      </c>
      <c r="O98" s="81">
        <f t="shared" si="2"/>
        <v>204903</v>
      </c>
    </row>
    <row r="99" spans="1:15" x14ac:dyDescent="0.35">
      <c r="A99" t="s">
        <v>160</v>
      </c>
      <c r="B99">
        <v>70103</v>
      </c>
      <c r="C99" s="13" t="s">
        <v>163</v>
      </c>
      <c r="D99" s="81">
        <f t="shared" ref="D99:O99" si="3">D74-D5</f>
        <v>9264</v>
      </c>
      <c r="E99" s="81">
        <f t="shared" si="3"/>
        <v>23050</v>
      </c>
      <c r="F99" s="81">
        <f t="shared" si="3"/>
        <v>23012</v>
      </c>
      <c r="G99" s="81">
        <f t="shared" si="3"/>
        <v>23288</v>
      </c>
      <c r="H99" s="81">
        <f t="shared" si="3"/>
        <v>14052</v>
      </c>
      <c r="I99" s="81">
        <f t="shared" si="3"/>
        <v>0</v>
      </c>
      <c r="J99" s="81">
        <f t="shared" si="3"/>
        <v>0</v>
      </c>
      <c r="K99" s="81">
        <f t="shared" si="3"/>
        <v>0</v>
      </c>
      <c r="L99" s="81">
        <f t="shared" si="3"/>
        <v>0</v>
      </c>
      <c r="M99" s="81">
        <f t="shared" si="3"/>
        <v>0</v>
      </c>
      <c r="N99" s="81">
        <f t="shared" si="3"/>
        <v>92666</v>
      </c>
      <c r="O99" s="81">
        <f t="shared" si="3"/>
        <v>92666</v>
      </c>
    </row>
    <row r="100" spans="1:15" x14ac:dyDescent="0.35">
      <c r="A100" t="s">
        <v>160</v>
      </c>
      <c r="B100">
        <v>70104</v>
      </c>
      <c r="C100" s="13" t="s">
        <v>164</v>
      </c>
      <c r="D100" s="81">
        <f t="shared" ref="D100:O100" si="4">D75-D6</f>
        <v>0</v>
      </c>
      <c r="E100" s="81">
        <f t="shared" si="4"/>
        <v>10014</v>
      </c>
      <c r="F100" s="81">
        <f t="shared" si="4"/>
        <v>6590</v>
      </c>
      <c r="G100" s="81">
        <f t="shared" si="4"/>
        <v>8619</v>
      </c>
      <c r="H100" s="81">
        <f t="shared" si="4"/>
        <v>11060</v>
      </c>
      <c r="I100" s="81">
        <f t="shared" si="4"/>
        <v>13179</v>
      </c>
      <c r="J100" s="81">
        <f t="shared" si="4"/>
        <v>15549</v>
      </c>
      <c r="K100" s="81">
        <f t="shared" si="4"/>
        <v>17420</v>
      </c>
      <c r="L100" s="81">
        <f t="shared" si="4"/>
        <v>19890</v>
      </c>
      <c r="M100" s="81">
        <f t="shared" si="4"/>
        <v>21720</v>
      </c>
      <c r="N100" s="81">
        <f t="shared" si="4"/>
        <v>36283</v>
      </c>
      <c r="O100" s="81">
        <f t="shared" si="4"/>
        <v>124040</v>
      </c>
    </row>
    <row r="101" spans="1:15" x14ac:dyDescent="0.35">
      <c r="A101" t="s">
        <v>160</v>
      </c>
      <c r="B101" s="17">
        <v>70108</v>
      </c>
      <c r="C101" s="13" t="s">
        <v>290</v>
      </c>
      <c r="D101" s="81">
        <f t="shared" ref="D101:O101" si="5">D10-D76</f>
        <v>0</v>
      </c>
      <c r="E101" s="81">
        <f t="shared" si="5"/>
        <v>-104</v>
      </c>
      <c r="F101" s="81">
        <f t="shared" si="5"/>
        <v>-256</v>
      </c>
      <c r="G101" s="81">
        <f t="shared" si="5"/>
        <v>-246</v>
      </c>
      <c r="H101" s="81">
        <f t="shared" si="5"/>
        <v>-237</v>
      </c>
      <c r="I101" s="81">
        <f t="shared" si="5"/>
        <v>-226</v>
      </c>
      <c r="J101" s="81">
        <f t="shared" si="5"/>
        <v>-210</v>
      </c>
      <c r="K101" s="81">
        <f t="shared" si="5"/>
        <v>-199</v>
      </c>
      <c r="L101" s="81">
        <f t="shared" si="5"/>
        <v>-185</v>
      </c>
      <c r="M101" s="81">
        <f t="shared" si="5"/>
        <v>-163</v>
      </c>
      <c r="N101" s="81">
        <f t="shared" si="5"/>
        <v>-843</v>
      </c>
      <c r="O101" s="81">
        <f t="shared" si="5"/>
        <v>-1825</v>
      </c>
    </row>
    <row r="102" spans="1:15" x14ac:dyDescent="0.35">
      <c r="A102" t="s">
        <v>160</v>
      </c>
      <c r="B102">
        <v>70204</v>
      </c>
      <c r="C102" s="13" t="s">
        <v>167</v>
      </c>
      <c r="D102" s="81">
        <f t="shared" ref="D102:O102" si="6">D17-D77</f>
        <v>-731</v>
      </c>
      <c r="E102" s="81">
        <f t="shared" si="6"/>
        <v>-6496</v>
      </c>
      <c r="F102" s="81">
        <f t="shared" si="6"/>
        <v>-3614</v>
      </c>
      <c r="G102" s="81">
        <f t="shared" si="6"/>
        <v>-3672</v>
      </c>
      <c r="H102" s="81">
        <f t="shared" si="6"/>
        <v>-78</v>
      </c>
      <c r="I102" s="81">
        <f t="shared" si="6"/>
        <v>-115</v>
      </c>
      <c r="J102" s="81">
        <f t="shared" si="6"/>
        <v>-160</v>
      </c>
      <c r="K102" s="81">
        <f t="shared" si="6"/>
        <v>-209</v>
      </c>
      <c r="L102" s="81">
        <f t="shared" si="6"/>
        <v>-259</v>
      </c>
      <c r="M102" s="81">
        <f t="shared" si="6"/>
        <v>-310</v>
      </c>
      <c r="N102" s="81">
        <f t="shared" si="6"/>
        <v>-14591</v>
      </c>
      <c r="O102" s="81">
        <f t="shared" si="6"/>
        <v>-15643</v>
      </c>
    </row>
    <row r="103" spans="1:15" x14ac:dyDescent="0.35">
      <c r="A103" t="s">
        <v>160</v>
      </c>
      <c r="B103">
        <v>70402</v>
      </c>
      <c r="C103" t="s">
        <v>168</v>
      </c>
    </row>
    <row r="104" spans="1:15" x14ac:dyDescent="0.35">
      <c r="A104" t="s">
        <v>160</v>
      </c>
      <c r="B104">
        <v>70405</v>
      </c>
      <c r="C104" t="s">
        <v>169</v>
      </c>
    </row>
    <row r="105" spans="1:15" x14ac:dyDescent="0.35">
      <c r="A105" t="s">
        <v>170</v>
      </c>
      <c r="B105">
        <v>70427</v>
      </c>
      <c r="C105" t="s">
        <v>171</v>
      </c>
    </row>
    <row r="106" spans="1:15" x14ac:dyDescent="0.35">
      <c r="A106" t="s">
        <v>160</v>
      </c>
      <c r="B106">
        <v>70501</v>
      </c>
      <c r="C106" t="s">
        <v>172</v>
      </c>
    </row>
    <row r="107" spans="1:15" x14ac:dyDescent="0.35">
      <c r="A107" t="s">
        <v>160</v>
      </c>
      <c r="B107">
        <v>70502</v>
      </c>
      <c r="C107" t="s">
        <v>173</v>
      </c>
    </row>
    <row r="108" spans="1:15" x14ac:dyDescent="0.35">
      <c r="A108" t="s">
        <v>170</v>
      </c>
      <c r="B108">
        <v>70514</v>
      </c>
      <c r="C108" t="s">
        <v>174</v>
      </c>
    </row>
    <row r="109" spans="1:15" x14ac:dyDescent="0.35">
      <c r="A109" t="s">
        <v>160</v>
      </c>
      <c r="B109">
        <v>71301</v>
      </c>
      <c r="C109" t="s">
        <v>175</v>
      </c>
    </row>
    <row r="110" spans="1:15" x14ac:dyDescent="0.35">
      <c r="A110" t="s">
        <v>160</v>
      </c>
      <c r="B110">
        <v>71302</v>
      </c>
      <c r="C110" t="s">
        <v>176</v>
      </c>
    </row>
    <row r="111" spans="1:15" x14ac:dyDescent="0.35">
      <c r="A111" t="s">
        <v>160</v>
      </c>
      <c r="B111">
        <v>71303</v>
      </c>
      <c r="C111" t="s">
        <v>177</v>
      </c>
    </row>
    <row r="112" spans="1:15" x14ac:dyDescent="0.35">
      <c r="A112" t="s">
        <v>160</v>
      </c>
      <c r="B112">
        <v>71304</v>
      </c>
      <c r="C112" t="s">
        <v>178</v>
      </c>
    </row>
    <row r="113" spans="1:3" x14ac:dyDescent="0.35">
      <c r="A113" t="s">
        <v>160</v>
      </c>
      <c r="B113">
        <v>71305</v>
      </c>
      <c r="C113" t="s">
        <v>179</v>
      </c>
    </row>
  </sheetData>
  <mergeCells count="2">
    <mergeCell ref="D1:O1"/>
    <mergeCell ref="D96:O9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506E-A556-43B1-A205-E4FE1D2A686D}">
  <dimension ref="A1:Q69"/>
  <sheetViews>
    <sheetView topLeftCell="A52" zoomScale="80" zoomScaleNormal="80" workbookViewId="0">
      <selection activeCell="C11" sqref="C11"/>
    </sheetView>
  </sheetViews>
  <sheetFormatPr defaultRowHeight="14.5" x14ac:dyDescent="0.35"/>
  <cols>
    <col min="1" max="1" width="19" bestFit="1" customWidth="1"/>
    <col min="2" max="2" width="11.1796875" bestFit="1" customWidth="1"/>
    <col min="3" max="3" width="50.453125" customWidth="1"/>
    <col min="13" max="13" width="8.81640625" bestFit="1" customWidth="1"/>
    <col min="14" max="14" width="9.81640625" bestFit="1" customWidth="1"/>
    <col min="15" max="15" width="12" customWidth="1"/>
  </cols>
  <sheetData>
    <row r="1" spans="1:16" x14ac:dyDescent="0.35">
      <c r="D1" s="113" t="s">
        <v>156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6" ht="26" x14ac:dyDescent="0.35">
      <c r="A2" t="s">
        <v>51</v>
      </c>
      <c r="B2" t="s">
        <v>157</v>
      </c>
      <c r="C2" t="s">
        <v>53</v>
      </c>
      <c r="D2" s="74">
        <v>2025</v>
      </c>
      <c r="E2" s="74">
        <v>2026</v>
      </c>
      <c r="F2" s="74">
        <v>2027</v>
      </c>
      <c r="G2" s="74">
        <v>2028</v>
      </c>
      <c r="H2" s="74">
        <v>2029</v>
      </c>
      <c r="I2" s="74">
        <v>2030</v>
      </c>
      <c r="J2" s="74">
        <v>2031</v>
      </c>
      <c r="K2" s="74">
        <v>2032</v>
      </c>
      <c r="L2" s="74">
        <v>2033</v>
      </c>
      <c r="M2" s="74">
        <v>2034</v>
      </c>
      <c r="N2" s="92" t="s">
        <v>158</v>
      </c>
      <c r="O2" s="92" t="s">
        <v>159</v>
      </c>
    </row>
    <row r="3" spans="1:16" x14ac:dyDescent="0.35">
      <c r="A3" t="s">
        <v>160</v>
      </c>
      <c r="B3">
        <v>70101</v>
      </c>
      <c r="C3" t="s">
        <v>161</v>
      </c>
      <c r="D3" s="9">
        <v>0</v>
      </c>
      <c r="E3" s="9">
        <v>0</v>
      </c>
      <c r="F3" s="9">
        <v>1249</v>
      </c>
      <c r="G3" s="9">
        <v>1247</v>
      </c>
      <c r="H3" s="9">
        <v>1273</v>
      </c>
      <c r="I3" s="9">
        <v>1291</v>
      </c>
      <c r="J3" s="9">
        <v>1324</v>
      </c>
      <c r="K3" s="9">
        <v>1396</v>
      </c>
      <c r="L3" s="9">
        <v>1460</v>
      </c>
      <c r="M3" s="9">
        <v>1511</v>
      </c>
      <c r="N3" s="88">
        <v>3769</v>
      </c>
      <c r="O3" s="88">
        <v>10751</v>
      </c>
    </row>
    <row r="4" spans="1:16" x14ac:dyDescent="0.35">
      <c r="A4" t="s">
        <v>160</v>
      </c>
      <c r="B4">
        <v>70102</v>
      </c>
      <c r="C4" t="s">
        <v>162</v>
      </c>
      <c r="D4" s="9">
        <v>0</v>
      </c>
      <c r="E4" s="9">
        <v>1719</v>
      </c>
      <c r="F4" s="9">
        <v>13128</v>
      </c>
      <c r="G4" s="9">
        <v>13012</v>
      </c>
      <c r="H4" s="9">
        <v>13059</v>
      </c>
      <c r="I4" s="9">
        <v>13224</v>
      </c>
      <c r="J4" s="9">
        <v>13384</v>
      </c>
      <c r="K4" s="9">
        <v>13644</v>
      </c>
      <c r="L4" s="9">
        <v>13975</v>
      </c>
      <c r="M4" s="9">
        <v>14370</v>
      </c>
      <c r="N4" s="88">
        <v>40918</v>
      </c>
      <c r="O4" s="88">
        <v>109515</v>
      </c>
    </row>
    <row r="5" spans="1:16" x14ac:dyDescent="0.35">
      <c r="A5" t="s">
        <v>160</v>
      </c>
      <c r="B5">
        <v>70103</v>
      </c>
      <c r="C5" t="s">
        <v>163</v>
      </c>
      <c r="D5" s="9">
        <v>0</v>
      </c>
      <c r="E5" s="9">
        <v>411</v>
      </c>
      <c r="F5" s="9">
        <v>-17340</v>
      </c>
      <c r="G5" s="9">
        <v>-17039</v>
      </c>
      <c r="H5" s="9">
        <v>-17075</v>
      </c>
      <c r="I5" s="9">
        <v>-17475</v>
      </c>
      <c r="J5" s="9">
        <v>-17590</v>
      </c>
      <c r="K5" s="9">
        <v>-17741</v>
      </c>
      <c r="L5" s="9">
        <v>-17927</v>
      </c>
      <c r="M5" s="9">
        <v>-18387</v>
      </c>
      <c r="N5" s="88">
        <v>-51043</v>
      </c>
      <c r="O5" s="88">
        <v>-140163</v>
      </c>
    </row>
    <row r="6" spans="1:16" x14ac:dyDescent="0.35">
      <c r="A6" t="s">
        <v>160</v>
      </c>
      <c r="B6">
        <v>70104</v>
      </c>
      <c r="C6" t="s">
        <v>164</v>
      </c>
      <c r="D6" s="9">
        <v>0</v>
      </c>
      <c r="E6" s="9">
        <v>0</v>
      </c>
      <c r="F6" s="9">
        <v>22285</v>
      </c>
      <c r="G6" s="9">
        <v>22300</v>
      </c>
      <c r="H6" s="9">
        <v>23227</v>
      </c>
      <c r="I6" s="9">
        <v>23399</v>
      </c>
      <c r="J6" s="9">
        <v>24361</v>
      </c>
      <c r="K6" s="9">
        <v>24035</v>
      </c>
      <c r="L6" s="9">
        <v>25578</v>
      </c>
      <c r="M6" s="9">
        <v>25314</v>
      </c>
      <c r="N6" s="88">
        <v>67812</v>
      </c>
      <c r="O6" s="88">
        <v>190501</v>
      </c>
    </row>
    <row r="7" spans="1:16" x14ac:dyDescent="0.35">
      <c r="A7" t="s">
        <v>160</v>
      </c>
      <c r="B7">
        <v>70108</v>
      </c>
      <c r="C7" t="s">
        <v>290</v>
      </c>
      <c r="D7" s="14">
        <v>0</v>
      </c>
      <c r="E7" s="14">
        <v>0</v>
      </c>
      <c r="F7" s="14">
        <v>23</v>
      </c>
      <c r="G7" s="14">
        <v>18</v>
      </c>
      <c r="H7" s="14">
        <v>16</v>
      </c>
      <c r="I7" s="14">
        <v>14</v>
      </c>
      <c r="J7" s="14">
        <v>12</v>
      </c>
      <c r="K7" s="14">
        <v>11</v>
      </c>
      <c r="L7" s="14">
        <v>13</v>
      </c>
      <c r="M7" s="14">
        <v>11</v>
      </c>
      <c r="N7" s="96">
        <v>57</v>
      </c>
      <c r="O7" s="96">
        <v>118</v>
      </c>
    </row>
    <row r="8" spans="1:16" x14ac:dyDescent="0.35">
      <c r="A8" t="s">
        <v>160</v>
      </c>
      <c r="B8">
        <v>70204</v>
      </c>
      <c r="C8" t="s">
        <v>167</v>
      </c>
      <c r="D8" s="14">
        <v>731</v>
      </c>
      <c r="E8" s="15">
        <v>6628</v>
      </c>
      <c r="F8" s="15">
        <v>3700</v>
      </c>
      <c r="G8" s="15">
        <v>3685</v>
      </c>
      <c r="H8" s="14">
        <v>45</v>
      </c>
      <c r="I8" s="14">
        <v>45</v>
      </c>
      <c r="J8" s="14">
        <v>45</v>
      </c>
      <c r="K8" s="14">
        <v>45</v>
      </c>
      <c r="L8" s="14">
        <v>45</v>
      </c>
      <c r="M8" s="14">
        <v>40</v>
      </c>
      <c r="N8" s="87">
        <v>14789</v>
      </c>
      <c r="O8" s="87">
        <v>15009</v>
      </c>
    </row>
    <row r="9" spans="1:16" x14ac:dyDescent="0.35">
      <c r="A9" t="s">
        <v>160</v>
      </c>
      <c r="B9">
        <v>70402</v>
      </c>
      <c r="C9" t="s">
        <v>168</v>
      </c>
      <c r="D9" s="9">
        <v>185</v>
      </c>
      <c r="E9" s="9">
        <v>410</v>
      </c>
      <c r="F9" s="9">
        <v>293</v>
      </c>
      <c r="G9" s="9">
        <v>293</v>
      </c>
      <c r="H9" s="9">
        <v>178</v>
      </c>
      <c r="I9" s="9">
        <v>179</v>
      </c>
      <c r="J9" s="9">
        <v>179</v>
      </c>
      <c r="K9" s="9">
        <v>180</v>
      </c>
      <c r="L9" s="9">
        <v>181</v>
      </c>
      <c r="M9" s="9">
        <v>182</v>
      </c>
      <c r="N9" s="88">
        <v>1359</v>
      </c>
      <c r="O9" s="88">
        <v>2260</v>
      </c>
    </row>
    <row r="10" spans="1:16" x14ac:dyDescent="0.35">
      <c r="A10" t="s">
        <v>160</v>
      </c>
      <c r="B10">
        <v>70405</v>
      </c>
      <c r="C10" t="s">
        <v>169</v>
      </c>
      <c r="D10" s="83">
        <v>0</v>
      </c>
      <c r="E10" s="83">
        <v>0</v>
      </c>
      <c r="F10" s="83">
        <v>383</v>
      </c>
      <c r="G10" s="83">
        <v>401</v>
      </c>
      <c r="H10" s="83">
        <v>386</v>
      </c>
      <c r="I10" s="83">
        <v>401</v>
      </c>
      <c r="J10" s="83">
        <v>387</v>
      </c>
      <c r="K10" s="83">
        <v>383</v>
      </c>
      <c r="L10" s="83">
        <v>388</v>
      </c>
      <c r="M10" s="83">
        <v>383</v>
      </c>
      <c r="N10" s="88">
        <v>1170</v>
      </c>
      <c r="O10" s="88">
        <v>3112</v>
      </c>
    </row>
    <row r="11" spans="1:16" x14ac:dyDescent="0.35">
      <c r="A11" t="s">
        <v>170</v>
      </c>
      <c r="B11">
        <v>70427</v>
      </c>
      <c r="C11" t="s">
        <v>171</v>
      </c>
      <c r="D11" s="9">
        <v>0</v>
      </c>
      <c r="E11" s="9">
        <v>251</v>
      </c>
      <c r="F11" s="9">
        <v>208</v>
      </c>
      <c r="G11" s="9">
        <v>208</v>
      </c>
      <c r="H11" s="9">
        <v>208</v>
      </c>
      <c r="I11" s="9">
        <v>208</v>
      </c>
      <c r="J11" s="9">
        <v>208</v>
      </c>
      <c r="K11" s="9">
        <v>208</v>
      </c>
      <c r="L11" s="9">
        <v>208</v>
      </c>
      <c r="M11" s="9">
        <v>208</v>
      </c>
      <c r="N11" s="88">
        <v>875</v>
      </c>
      <c r="O11" s="88">
        <v>1915</v>
      </c>
    </row>
    <row r="12" spans="1:16" x14ac:dyDescent="0.35">
      <c r="A12" t="s">
        <v>160</v>
      </c>
      <c r="B12">
        <v>70501</v>
      </c>
      <c r="C12" t="s">
        <v>172</v>
      </c>
      <c r="D12" s="9">
        <v>0</v>
      </c>
      <c r="E12" s="9">
        <v>43</v>
      </c>
      <c r="F12" s="9">
        <v>174</v>
      </c>
      <c r="G12" s="9">
        <v>217</v>
      </c>
      <c r="H12" s="9">
        <v>345</v>
      </c>
      <c r="I12" s="9">
        <v>454</v>
      </c>
      <c r="J12" s="9">
        <v>519</v>
      </c>
      <c r="K12" s="9">
        <v>637</v>
      </c>
      <c r="L12" s="9">
        <v>584</v>
      </c>
      <c r="M12" s="9">
        <v>0</v>
      </c>
      <c r="N12" s="88">
        <v>779</v>
      </c>
      <c r="O12" s="88">
        <v>2972</v>
      </c>
    </row>
    <row r="13" spans="1:16" x14ac:dyDescent="0.35">
      <c r="A13" t="s">
        <v>160</v>
      </c>
      <c r="B13">
        <v>70502</v>
      </c>
      <c r="C13" t="s">
        <v>173</v>
      </c>
      <c r="D13" s="9">
        <v>0</v>
      </c>
      <c r="E13" s="9">
        <v>-966</v>
      </c>
      <c r="F13" s="9">
        <v>-2932</v>
      </c>
      <c r="G13" s="9">
        <v>-7098</v>
      </c>
      <c r="H13" s="9">
        <v>-11729</v>
      </c>
      <c r="I13" s="9">
        <v>-14008</v>
      </c>
      <c r="J13" s="9">
        <v>-15700</v>
      </c>
      <c r="K13" s="9">
        <v>-17613</v>
      </c>
      <c r="L13" s="9">
        <v>0</v>
      </c>
      <c r="M13" s="9">
        <v>0</v>
      </c>
      <c r="N13" s="88">
        <v>-22725</v>
      </c>
      <c r="O13" s="88">
        <v>-70046</v>
      </c>
    </row>
    <row r="14" spans="1:16" x14ac:dyDescent="0.35">
      <c r="A14" s="86" t="s">
        <v>160</v>
      </c>
      <c r="B14">
        <v>70514</v>
      </c>
      <c r="C14" s="86" t="s">
        <v>174</v>
      </c>
      <c r="D14" s="9">
        <v>-27</v>
      </c>
      <c r="E14" s="9">
        <v>-95</v>
      </c>
      <c r="F14" s="9">
        <v>-138</v>
      </c>
      <c r="G14" s="9">
        <v>-132</v>
      </c>
      <c r="H14" s="9">
        <v>-117</v>
      </c>
      <c r="I14" s="9">
        <v>-91</v>
      </c>
      <c r="J14" s="9">
        <v>-74</v>
      </c>
      <c r="K14" s="9">
        <v>-58</v>
      </c>
      <c r="L14" s="9">
        <v>-18</v>
      </c>
      <c r="M14" s="9">
        <v>0</v>
      </c>
      <c r="N14" s="88">
        <v>-509</v>
      </c>
      <c r="O14" s="88">
        <v>-749</v>
      </c>
      <c r="P14" t="s">
        <v>327</v>
      </c>
    </row>
    <row r="15" spans="1:16" x14ac:dyDescent="0.35">
      <c r="A15" t="s">
        <v>160</v>
      </c>
      <c r="B15">
        <v>71301</v>
      </c>
      <c r="C15" t="s">
        <v>175</v>
      </c>
      <c r="D15" s="9">
        <v>0</v>
      </c>
      <c r="E15" s="9">
        <v>0</v>
      </c>
      <c r="F15" s="9">
        <v>-5453</v>
      </c>
      <c r="G15" s="9">
        <v>-7923</v>
      </c>
      <c r="H15" s="9">
        <v>-8399</v>
      </c>
      <c r="I15" s="9">
        <v>-8796</v>
      </c>
      <c r="J15" s="9">
        <v>-9254</v>
      </c>
      <c r="K15" s="9">
        <v>-9713</v>
      </c>
      <c r="L15" s="9">
        <v>-9971</v>
      </c>
      <c r="M15" s="9">
        <v>-10256</v>
      </c>
      <c r="N15" s="88">
        <v>-21775</v>
      </c>
      <c r="O15" s="88">
        <v>-69765</v>
      </c>
    </row>
    <row r="16" spans="1:16" x14ac:dyDescent="0.35">
      <c r="A16" t="s">
        <v>160</v>
      </c>
      <c r="B16">
        <v>71302</v>
      </c>
      <c r="C16" t="s">
        <v>176</v>
      </c>
      <c r="D16" s="9">
        <v>0</v>
      </c>
      <c r="E16" s="9">
        <v>-3307</v>
      </c>
      <c r="F16" s="9">
        <v>-4746</v>
      </c>
      <c r="G16" s="9">
        <v>-5159</v>
      </c>
      <c r="H16" s="9">
        <v>-5426</v>
      </c>
      <c r="I16" s="9">
        <v>-5621</v>
      </c>
      <c r="J16" s="9">
        <v>-5913</v>
      </c>
      <c r="K16" s="9">
        <v>-6224</v>
      </c>
      <c r="L16" s="9">
        <v>-6436</v>
      </c>
      <c r="M16" s="9">
        <v>-6695</v>
      </c>
      <c r="N16" s="88">
        <v>-18638</v>
      </c>
      <c r="O16" s="88">
        <v>-49527</v>
      </c>
    </row>
    <row r="17" spans="1:15" x14ac:dyDescent="0.35">
      <c r="A17" t="s">
        <v>160</v>
      </c>
      <c r="B17">
        <v>71303</v>
      </c>
      <c r="C17" t="s">
        <v>177</v>
      </c>
      <c r="D17" s="9">
        <v>0</v>
      </c>
      <c r="E17" s="9">
        <v>0</v>
      </c>
      <c r="F17" s="9">
        <v>0</v>
      </c>
      <c r="G17" s="9">
        <v>-3521</v>
      </c>
      <c r="H17" s="9">
        <v>-5124</v>
      </c>
      <c r="I17" s="9">
        <v>-5161</v>
      </c>
      <c r="J17" s="9">
        <v>-5353</v>
      </c>
      <c r="K17" s="9">
        <v>-5560</v>
      </c>
      <c r="L17" s="9">
        <v>-5895</v>
      </c>
      <c r="M17" s="9">
        <v>-6316</v>
      </c>
      <c r="N17" s="88">
        <v>-8645</v>
      </c>
      <c r="O17" s="88">
        <v>-36930</v>
      </c>
    </row>
    <row r="18" spans="1:15" x14ac:dyDescent="0.35">
      <c r="A18" t="s">
        <v>160</v>
      </c>
      <c r="B18">
        <v>71304</v>
      </c>
      <c r="C18" t="s">
        <v>178</v>
      </c>
      <c r="D18" s="9">
        <v>0</v>
      </c>
      <c r="E18" s="9">
        <v>-1587</v>
      </c>
      <c r="F18" s="9">
        <v>-3293</v>
      </c>
      <c r="G18" s="9">
        <v>-4534</v>
      </c>
      <c r="H18" s="9">
        <v>-4963</v>
      </c>
      <c r="I18" s="9">
        <v>-4833</v>
      </c>
      <c r="J18" s="9">
        <v>-4810</v>
      </c>
      <c r="K18" s="9">
        <v>-4867</v>
      </c>
      <c r="L18" s="9">
        <v>-5191</v>
      </c>
      <c r="M18" s="9">
        <v>-5404</v>
      </c>
      <c r="N18" s="88">
        <v>-14377</v>
      </c>
      <c r="O18" s="88">
        <v>-39482</v>
      </c>
    </row>
    <row r="19" spans="1:15" x14ac:dyDescent="0.35">
      <c r="A19" t="s">
        <v>160</v>
      </c>
      <c r="B19">
        <v>71305</v>
      </c>
      <c r="C19" t="s">
        <v>179</v>
      </c>
      <c r="D19" s="9">
        <v>0</v>
      </c>
      <c r="E19" s="9">
        <v>-39</v>
      </c>
      <c r="F19" s="9">
        <v>-1973</v>
      </c>
      <c r="G19" s="9">
        <v>-1958</v>
      </c>
      <c r="H19" s="9">
        <v>-2106</v>
      </c>
      <c r="I19" s="9">
        <v>-2132</v>
      </c>
      <c r="J19" s="9">
        <v>-2181</v>
      </c>
      <c r="K19" s="9">
        <v>-2242</v>
      </c>
      <c r="L19" s="9">
        <v>-2264</v>
      </c>
      <c r="M19" s="9">
        <v>-2371</v>
      </c>
      <c r="N19" s="88">
        <v>-6076</v>
      </c>
      <c r="O19" s="88">
        <v>-17264</v>
      </c>
    </row>
    <row r="20" spans="1:15" x14ac:dyDescent="0.35">
      <c r="D20" s="9"/>
      <c r="E20" s="9"/>
      <c r="F20" s="9"/>
      <c r="G20" s="9"/>
      <c r="H20" s="9"/>
      <c r="I20" s="9"/>
      <c r="J20" s="9"/>
      <c r="K20" s="9"/>
      <c r="L20" s="9"/>
      <c r="M20" s="9"/>
      <c r="N20" s="97"/>
      <c r="O20" s="97"/>
    </row>
    <row r="21" spans="1:15" x14ac:dyDescent="0.35">
      <c r="A21" t="s">
        <v>165</v>
      </c>
      <c r="B21">
        <v>70120</v>
      </c>
      <c r="C21" t="s">
        <v>166</v>
      </c>
      <c r="D21" s="9">
        <v>0</v>
      </c>
      <c r="E21" s="9">
        <v>188</v>
      </c>
      <c r="F21" s="9">
        <v>-425</v>
      </c>
      <c r="G21" s="9">
        <v>-239</v>
      </c>
      <c r="H21" s="9">
        <v>-250</v>
      </c>
      <c r="I21" s="9">
        <v>-235</v>
      </c>
      <c r="J21" s="9">
        <v>-413</v>
      </c>
      <c r="K21" s="9">
        <v>-241</v>
      </c>
      <c r="L21" s="9">
        <v>-223</v>
      </c>
      <c r="M21" s="9">
        <v>-216</v>
      </c>
      <c r="N21" s="90">
        <v>-726</v>
      </c>
      <c r="O21" s="90">
        <v>-2054</v>
      </c>
    </row>
    <row r="22" spans="1:15" x14ac:dyDescent="0.35">
      <c r="D22" s="9"/>
      <c r="E22" s="9"/>
      <c r="F22" s="9"/>
      <c r="G22" s="9"/>
      <c r="H22" s="9"/>
      <c r="I22" s="9"/>
      <c r="J22" s="9"/>
      <c r="K22" s="9"/>
      <c r="L22" s="9"/>
      <c r="M22" s="9"/>
      <c r="N22" s="98"/>
      <c r="O22" s="98"/>
    </row>
    <row r="23" spans="1:15" x14ac:dyDescent="0.35">
      <c r="A23" t="s">
        <v>170</v>
      </c>
      <c r="B23">
        <v>70531</v>
      </c>
      <c r="C23" t="s">
        <v>180</v>
      </c>
      <c r="D23" s="14">
        <v>0</v>
      </c>
      <c r="E23" s="14">
        <v>0</v>
      </c>
      <c r="F23" s="14">
        <v>-57</v>
      </c>
      <c r="G23" s="14">
        <v>-231</v>
      </c>
      <c r="H23" s="14">
        <v>-233</v>
      </c>
      <c r="I23" s="14">
        <v>-237</v>
      </c>
      <c r="J23" s="14">
        <v>-243</v>
      </c>
      <c r="K23" s="14">
        <v>0</v>
      </c>
      <c r="L23" s="14">
        <v>0</v>
      </c>
      <c r="M23" s="14">
        <v>0</v>
      </c>
      <c r="N23" s="93">
        <v>-521</v>
      </c>
      <c r="O23" s="87">
        <v>-1001</v>
      </c>
    </row>
    <row r="25" spans="1:15" x14ac:dyDescent="0.35">
      <c r="C25" t="s">
        <v>324</v>
      </c>
    </row>
    <row r="27" spans="1:15" x14ac:dyDescent="0.35">
      <c r="A27" t="s">
        <v>160</v>
      </c>
      <c r="B27">
        <v>70101</v>
      </c>
      <c r="C27" s="13" t="s">
        <v>161</v>
      </c>
      <c r="D27" s="14">
        <v>0</v>
      </c>
      <c r="E27" s="15">
        <v>-147679</v>
      </c>
      <c r="F27" s="15">
        <v>-220905</v>
      </c>
      <c r="G27" s="15">
        <v>-231418</v>
      </c>
      <c r="H27" s="15">
        <v>-239737</v>
      </c>
      <c r="I27" s="15">
        <v>-248513</v>
      </c>
      <c r="J27" s="15">
        <v>-258118</v>
      </c>
      <c r="K27" s="15">
        <v>-268334</v>
      </c>
      <c r="L27" s="15">
        <v>-278460</v>
      </c>
      <c r="M27" s="15">
        <v>-289463</v>
      </c>
      <c r="N27" s="87">
        <v>-839739</v>
      </c>
      <c r="O27" s="87">
        <v>-2182627</v>
      </c>
    </row>
    <row r="28" spans="1:15" x14ac:dyDescent="0.35">
      <c r="A28" t="s">
        <v>160</v>
      </c>
      <c r="B28">
        <v>70102</v>
      </c>
      <c r="C28" s="13" t="s">
        <v>162</v>
      </c>
      <c r="D28" s="9">
        <v>-7544</v>
      </c>
      <c r="E28" s="9">
        <v>-90405</v>
      </c>
      <c r="F28" s="9">
        <v>-131561</v>
      </c>
      <c r="G28" s="9">
        <v>-136905</v>
      </c>
      <c r="H28" s="9">
        <v>-142475</v>
      </c>
      <c r="I28" s="9">
        <v>-148271</v>
      </c>
      <c r="J28" s="9">
        <v>-154926</v>
      </c>
      <c r="K28" s="9">
        <v>-161157</v>
      </c>
      <c r="L28" s="9">
        <v>-167886</v>
      </c>
      <c r="M28" s="9">
        <v>-174038</v>
      </c>
      <c r="N28" s="88">
        <v>-508890</v>
      </c>
      <c r="O28" s="89">
        <v>-1315167</v>
      </c>
    </row>
    <row r="29" spans="1:15" x14ac:dyDescent="0.35">
      <c r="A29" t="s">
        <v>160</v>
      </c>
      <c r="B29">
        <v>70103</v>
      </c>
      <c r="C29" s="13" t="s">
        <v>163</v>
      </c>
      <c r="D29" s="9">
        <v>-9264</v>
      </c>
      <c r="E29" s="9">
        <v>111036</v>
      </c>
      <c r="F29" s="9">
        <v>156113</v>
      </c>
      <c r="G29" s="9">
        <v>162581</v>
      </c>
      <c r="H29" s="9">
        <v>179339</v>
      </c>
      <c r="I29" s="9">
        <v>200090</v>
      </c>
      <c r="J29" s="9">
        <v>206426</v>
      </c>
      <c r="K29" s="9">
        <v>212818</v>
      </c>
      <c r="L29" s="9">
        <v>220512</v>
      </c>
      <c r="M29" s="9">
        <v>227258</v>
      </c>
      <c r="N29" s="88">
        <v>599805</v>
      </c>
      <c r="O29" s="89">
        <v>1666911</v>
      </c>
    </row>
    <row r="30" spans="1:15" x14ac:dyDescent="0.35">
      <c r="A30" t="s">
        <v>160</v>
      </c>
      <c r="B30">
        <v>70104</v>
      </c>
      <c r="C30" s="13" t="s">
        <v>164</v>
      </c>
      <c r="D30" s="14">
        <v>0</v>
      </c>
      <c r="E30" s="15">
        <v>-48769</v>
      </c>
      <c r="F30" s="15">
        <v>-65314</v>
      </c>
      <c r="G30" s="15">
        <v>-67874</v>
      </c>
      <c r="H30" s="15">
        <v>-69450</v>
      </c>
      <c r="I30" s="15">
        <v>-71893</v>
      </c>
      <c r="J30" s="15">
        <v>-73229</v>
      </c>
      <c r="K30" s="15">
        <v>-75295</v>
      </c>
      <c r="L30" s="15">
        <v>-76309</v>
      </c>
      <c r="M30" s="15">
        <v>-78215</v>
      </c>
      <c r="N30" s="87">
        <v>-251407</v>
      </c>
      <c r="O30" s="87">
        <v>-626345</v>
      </c>
    </row>
    <row r="31" spans="1:15" x14ac:dyDescent="0.35">
      <c r="A31" t="s">
        <v>160</v>
      </c>
      <c r="B31">
        <v>70105</v>
      </c>
      <c r="C31" s="13" t="s">
        <v>287</v>
      </c>
      <c r="D31" s="9">
        <v>-6970</v>
      </c>
      <c r="E31" s="9">
        <v>-44331</v>
      </c>
      <c r="F31" s="9">
        <v>-74617</v>
      </c>
      <c r="G31" s="9">
        <v>-80917</v>
      </c>
      <c r="H31" s="9">
        <v>-82289</v>
      </c>
      <c r="I31" s="9">
        <v>-84164</v>
      </c>
      <c r="J31" s="9">
        <v>-86454</v>
      </c>
      <c r="K31" s="9">
        <v>-89110</v>
      </c>
      <c r="L31" s="9">
        <v>-92036</v>
      </c>
      <c r="M31" s="9">
        <v>-95650</v>
      </c>
      <c r="N31" s="90">
        <v>-289124</v>
      </c>
      <c r="O31" s="89">
        <v>-736539</v>
      </c>
    </row>
    <row r="32" spans="1:15" x14ac:dyDescent="0.35">
      <c r="A32" t="s">
        <v>160</v>
      </c>
      <c r="B32" s="17">
        <v>70106</v>
      </c>
      <c r="C32" s="13" t="s">
        <v>288</v>
      </c>
      <c r="D32">
        <v>-50</v>
      </c>
      <c r="E32" s="81">
        <v>-3672</v>
      </c>
      <c r="F32" s="81">
        <v>-20276</v>
      </c>
      <c r="G32" s="81">
        <v>-22353</v>
      </c>
      <c r="H32" s="81">
        <v>-23323</v>
      </c>
      <c r="I32" s="81">
        <v>-24710</v>
      </c>
      <c r="J32" s="81">
        <v>-26337</v>
      </c>
      <c r="K32" s="81">
        <v>-28093</v>
      </c>
      <c r="L32" s="81">
        <v>-30275</v>
      </c>
      <c r="M32" s="81">
        <v>-32636</v>
      </c>
      <c r="N32" s="89">
        <v>-69674</v>
      </c>
      <c r="O32" s="89">
        <v>-211725</v>
      </c>
    </row>
    <row r="33" spans="1:16" x14ac:dyDescent="0.35">
      <c r="A33" t="s">
        <v>160</v>
      </c>
      <c r="B33" s="17">
        <v>70107</v>
      </c>
      <c r="C33" s="13" t="s">
        <v>289</v>
      </c>
      <c r="D33" s="14">
        <v>0</v>
      </c>
      <c r="E33" s="15">
        <v>-76835</v>
      </c>
      <c r="F33" s="15">
        <v>-137508</v>
      </c>
      <c r="G33" s="15">
        <v>-139699</v>
      </c>
      <c r="H33" s="15">
        <v>-147311</v>
      </c>
      <c r="I33" s="15">
        <v>-155382</v>
      </c>
      <c r="J33" s="15">
        <v>-163522</v>
      </c>
      <c r="K33" s="15">
        <v>-171962</v>
      </c>
      <c r="L33" s="15">
        <v>-180740</v>
      </c>
      <c r="M33" s="15">
        <v>-189850</v>
      </c>
      <c r="N33" s="85">
        <v>-501353</v>
      </c>
      <c r="O33" s="85">
        <v>-1362810</v>
      </c>
    </row>
    <row r="34" spans="1:16" x14ac:dyDescent="0.35">
      <c r="A34" t="s">
        <v>160</v>
      </c>
      <c r="B34" s="17">
        <v>70108</v>
      </c>
      <c r="C34" s="13" t="s">
        <v>290</v>
      </c>
      <c r="D34" s="14">
        <v>0</v>
      </c>
      <c r="E34" s="15">
        <v>1639</v>
      </c>
      <c r="F34" s="15">
        <v>3133</v>
      </c>
      <c r="G34" s="15">
        <v>3553</v>
      </c>
      <c r="H34" s="15">
        <v>4070</v>
      </c>
      <c r="I34" s="15">
        <v>4565</v>
      </c>
      <c r="J34" s="15">
        <v>5014</v>
      </c>
      <c r="K34" s="15">
        <v>5465</v>
      </c>
      <c r="L34" s="15">
        <v>5833</v>
      </c>
      <c r="M34" s="15">
        <v>6378</v>
      </c>
      <c r="N34" s="85">
        <v>12395</v>
      </c>
      <c r="O34" s="85">
        <v>39650</v>
      </c>
    </row>
    <row r="35" spans="1:16" x14ac:dyDescent="0.35">
      <c r="A35" t="s">
        <v>160</v>
      </c>
      <c r="B35" s="17">
        <v>70109</v>
      </c>
      <c r="C35" s="13" t="s">
        <v>291</v>
      </c>
      <c r="D35" s="14">
        <v>0</v>
      </c>
      <c r="E35" s="14">
        <v>86</v>
      </c>
      <c r="F35" s="14">
        <v>122</v>
      </c>
      <c r="G35" s="14">
        <v>132</v>
      </c>
      <c r="H35" s="14">
        <v>138</v>
      </c>
      <c r="I35" s="14">
        <v>147</v>
      </c>
      <c r="J35" s="14">
        <v>155</v>
      </c>
      <c r="K35" s="14">
        <v>163</v>
      </c>
      <c r="L35" s="14">
        <v>170</v>
      </c>
      <c r="M35" s="14">
        <v>178</v>
      </c>
      <c r="N35" s="84">
        <v>478</v>
      </c>
      <c r="O35" s="85">
        <v>1290</v>
      </c>
    </row>
    <row r="36" spans="1:16" x14ac:dyDescent="0.35">
      <c r="A36" t="s">
        <v>160</v>
      </c>
      <c r="B36" s="17">
        <v>70110</v>
      </c>
      <c r="C36" s="13" t="s">
        <v>292</v>
      </c>
      <c r="D36" s="14">
        <v>0</v>
      </c>
      <c r="E36" s="15">
        <v>13419</v>
      </c>
      <c r="F36" s="15">
        <v>23707</v>
      </c>
      <c r="G36" s="15">
        <v>24907</v>
      </c>
      <c r="H36" s="15">
        <v>25815</v>
      </c>
      <c r="I36" s="15">
        <v>26723</v>
      </c>
      <c r="J36" s="15">
        <v>27702</v>
      </c>
      <c r="K36" s="15">
        <v>28710</v>
      </c>
      <c r="L36" s="15">
        <v>29761</v>
      </c>
      <c r="M36" s="15">
        <v>30810</v>
      </c>
      <c r="N36" s="85">
        <v>87848</v>
      </c>
      <c r="O36" s="85">
        <v>231553</v>
      </c>
    </row>
    <row r="37" spans="1:16" x14ac:dyDescent="0.35">
      <c r="A37" t="s">
        <v>160</v>
      </c>
      <c r="B37" s="17">
        <v>70111</v>
      </c>
      <c r="C37" s="13" t="s">
        <v>293</v>
      </c>
      <c r="D37" s="14">
        <v>0</v>
      </c>
      <c r="E37" s="15">
        <v>-16040</v>
      </c>
      <c r="F37" s="15">
        <v>-26393</v>
      </c>
      <c r="G37" s="15">
        <v>-27635</v>
      </c>
      <c r="H37" s="15">
        <v>-28398</v>
      </c>
      <c r="I37" s="15">
        <v>-29264</v>
      </c>
      <c r="J37" s="15">
        <v>-30232</v>
      </c>
      <c r="K37" s="15">
        <v>-31309</v>
      </c>
      <c r="L37" s="15">
        <v>-32434</v>
      </c>
      <c r="M37" s="15">
        <v>-33811</v>
      </c>
      <c r="N37" s="85">
        <v>-98466</v>
      </c>
      <c r="O37" s="85">
        <v>-255515</v>
      </c>
    </row>
    <row r="38" spans="1:16" x14ac:dyDescent="0.35">
      <c r="A38" t="s">
        <v>160</v>
      </c>
      <c r="B38">
        <v>70201</v>
      </c>
      <c r="C38" s="13" t="s">
        <v>294</v>
      </c>
      <c r="D38" s="14">
        <v>0</v>
      </c>
      <c r="E38" s="15">
        <v>-10121</v>
      </c>
      <c r="F38" s="15">
        <v>-7664</v>
      </c>
      <c r="G38" s="15">
        <v>-8078</v>
      </c>
      <c r="H38" s="15">
        <v>-5262</v>
      </c>
      <c r="I38" s="14">
        <v>-90</v>
      </c>
      <c r="J38" s="14">
        <v>-98</v>
      </c>
      <c r="K38" s="14">
        <v>-107</v>
      </c>
      <c r="L38" s="14">
        <v>-117</v>
      </c>
      <c r="M38" s="14">
        <v>-127</v>
      </c>
      <c r="N38" s="85">
        <v>-31125</v>
      </c>
      <c r="O38" s="85">
        <v>-31664</v>
      </c>
    </row>
    <row r="39" spans="1:16" x14ac:dyDescent="0.35">
      <c r="A39" t="s">
        <v>160</v>
      </c>
      <c r="B39">
        <v>70202</v>
      </c>
      <c r="C39" s="13" t="s">
        <v>295</v>
      </c>
      <c r="D39" s="14">
        <v>0</v>
      </c>
      <c r="E39" s="15">
        <v>-32806</v>
      </c>
      <c r="F39" s="15">
        <v>-25672</v>
      </c>
      <c r="G39" s="15">
        <v>-22982</v>
      </c>
      <c r="H39" s="15">
        <v>-8113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85">
        <v>-89573</v>
      </c>
      <c r="O39" s="85">
        <v>-89573</v>
      </c>
    </row>
    <row r="40" spans="1:16" x14ac:dyDescent="0.35">
      <c r="A40" t="s">
        <v>160</v>
      </c>
      <c r="B40">
        <v>70203</v>
      </c>
      <c r="C40" s="13" t="s">
        <v>296</v>
      </c>
      <c r="D40" s="81">
        <v>-1932</v>
      </c>
      <c r="E40" s="81">
        <v>-5400</v>
      </c>
      <c r="F40" s="81">
        <v>-8070</v>
      </c>
      <c r="G40" s="81">
        <v>-9916</v>
      </c>
      <c r="H40" s="81">
        <v>-5313</v>
      </c>
      <c r="I40">
        <v>0</v>
      </c>
      <c r="J40">
        <v>0</v>
      </c>
      <c r="K40">
        <v>0</v>
      </c>
      <c r="L40">
        <v>0</v>
      </c>
      <c r="M40">
        <v>0</v>
      </c>
      <c r="N40" s="89">
        <v>-30631</v>
      </c>
      <c r="O40" s="89">
        <v>-30631</v>
      </c>
    </row>
    <row r="41" spans="1:16" x14ac:dyDescent="0.35">
      <c r="A41" t="s">
        <v>160</v>
      </c>
      <c r="B41">
        <v>70204</v>
      </c>
      <c r="C41" s="13" t="s">
        <v>167</v>
      </c>
      <c r="D41" s="14">
        <v>0</v>
      </c>
      <c r="E41" s="14">
        <v>132</v>
      </c>
      <c r="F41" s="14">
        <v>86</v>
      </c>
      <c r="G41" s="14">
        <v>13</v>
      </c>
      <c r="H41" s="14">
        <v>-33</v>
      </c>
      <c r="I41" s="14">
        <v>-70</v>
      </c>
      <c r="J41" s="14">
        <v>-115</v>
      </c>
      <c r="K41" s="14">
        <v>-164</v>
      </c>
      <c r="L41" s="14">
        <v>-214</v>
      </c>
      <c r="M41" s="14">
        <v>-270</v>
      </c>
      <c r="N41" s="84">
        <v>198</v>
      </c>
      <c r="O41" s="84">
        <v>-634</v>
      </c>
    </row>
    <row r="42" spans="1:16" x14ac:dyDescent="0.35">
      <c r="C42" s="13"/>
      <c r="D42" s="93">
        <f t="shared" ref="D42:O42" si="0">SUM(D27:D41)</f>
        <v>-25760</v>
      </c>
      <c r="E42" s="93">
        <f t="shared" si="0"/>
        <v>-349746</v>
      </c>
      <c r="F42" s="93">
        <f t="shared" si="0"/>
        <v>-534819</v>
      </c>
      <c r="G42" s="93">
        <f t="shared" si="0"/>
        <v>-556591</v>
      </c>
      <c r="H42" s="93">
        <f t="shared" si="0"/>
        <v>-542342</v>
      </c>
      <c r="I42" s="93">
        <f t="shared" si="0"/>
        <v>-530832</v>
      </c>
      <c r="J42" s="93">
        <f t="shared" si="0"/>
        <v>-553734</v>
      </c>
      <c r="K42" s="93">
        <f t="shared" si="0"/>
        <v>-578375</v>
      </c>
      <c r="L42" s="93">
        <f t="shared" si="0"/>
        <v>-602195</v>
      </c>
      <c r="M42" s="93">
        <f t="shared" si="0"/>
        <v>-629436</v>
      </c>
      <c r="N42" s="99">
        <f t="shared" si="0"/>
        <v>-2009258</v>
      </c>
      <c r="O42" s="99">
        <f t="shared" si="0"/>
        <v>-4903826</v>
      </c>
    </row>
    <row r="43" spans="1:16" x14ac:dyDescent="0.35">
      <c r="A43" t="s">
        <v>165</v>
      </c>
      <c r="B43">
        <v>70120</v>
      </c>
      <c r="C43" s="13" t="s">
        <v>305</v>
      </c>
      <c r="D43" s="81">
        <v>-5070</v>
      </c>
      <c r="E43" s="81">
        <v>31805</v>
      </c>
      <c r="F43" s="81">
        <v>78825</v>
      </c>
      <c r="G43" s="81">
        <v>79761</v>
      </c>
      <c r="H43" s="81">
        <v>84637</v>
      </c>
      <c r="I43" s="81">
        <v>106533</v>
      </c>
      <c r="J43" s="81">
        <v>134815</v>
      </c>
      <c r="K43" s="81">
        <v>137243</v>
      </c>
      <c r="L43" s="81">
        <v>144176</v>
      </c>
      <c r="M43" s="81">
        <v>151431</v>
      </c>
      <c r="N43" s="89">
        <v>269958</v>
      </c>
      <c r="O43" s="89">
        <v>944155</v>
      </c>
      <c r="P43" t="s">
        <v>306</v>
      </c>
    </row>
    <row r="44" spans="1:16" x14ac:dyDescent="0.35">
      <c r="D44" s="89">
        <f t="shared" ref="D44:O44" si="1">SUM(D43)</f>
        <v>-5070</v>
      </c>
      <c r="E44" s="89">
        <f t="shared" si="1"/>
        <v>31805</v>
      </c>
      <c r="F44" s="89">
        <f t="shared" si="1"/>
        <v>78825</v>
      </c>
      <c r="G44" s="89">
        <f t="shared" si="1"/>
        <v>79761</v>
      </c>
      <c r="H44" s="89">
        <f t="shared" si="1"/>
        <v>84637</v>
      </c>
      <c r="I44" s="89">
        <f t="shared" si="1"/>
        <v>106533</v>
      </c>
      <c r="J44" s="89">
        <f t="shared" si="1"/>
        <v>134815</v>
      </c>
      <c r="K44" s="89">
        <f t="shared" si="1"/>
        <v>137243</v>
      </c>
      <c r="L44" s="89">
        <f t="shared" si="1"/>
        <v>144176</v>
      </c>
      <c r="M44" s="89">
        <f t="shared" si="1"/>
        <v>151431</v>
      </c>
      <c r="N44" s="100">
        <f t="shared" si="1"/>
        <v>269958</v>
      </c>
      <c r="O44" s="100">
        <f t="shared" si="1"/>
        <v>944155</v>
      </c>
    </row>
    <row r="45" spans="1:16" x14ac:dyDescent="0.35">
      <c r="A45" t="s">
        <v>170</v>
      </c>
      <c r="B45">
        <v>70301</v>
      </c>
      <c r="C45" s="13" t="s">
        <v>182</v>
      </c>
      <c r="D45" s="9">
        <v>-33505</v>
      </c>
      <c r="E45" s="9">
        <v>-65123</v>
      </c>
      <c r="F45" s="9">
        <v>-65216</v>
      </c>
      <c r="G45" s="9">
        <v>-57507</v>
      </c>
      <c r="H45" s="9">
        <v>-40839</v>
      </c>
      <c r="I45" s="9">
        <v>-28972</v>
      </c>
      <c r="J45" s="9">
        <v>-21560</v>
      </c>
      <c r="K45" s="9">
        <v>-17802</v>
      </c>
      <c r="L45" s="9">
        <v>-16256</v>
      </c>
      <c r="M45" s="9">
        <v>-15871</v>
      </c>
      <c r="N45" s="88">
        <v>-262190</v>
      </c>
      <c r="O45" s="88">
        <v>-362650</v>
      </c>
    </row>
    <row r="46" spans="1:16" x14ac:dyDescent="0.35">
      <c r="A46" t="s">
        <v>170</v>
      </c>
      <c r="B46">
        <v>70302</v>
      </c>
      <c r="C46" s="13" t="s">
        <v>183</v>
      </c>
      <c r="D46" s="9">
        <v>-53793</v>
      </c>
      <c r="E46" s="9">
        <v>-33585</v>
      </c>
      <c r="F46" s="9">
        <v>-20483</v>
      </c>
      <c r="G46" s="9">
        <v>-13794</v>
      </c>
      <c r="H46" s="9">
        <v>-7480</v>
      </c>
      <c r="I46" s="9">
        <v>-3186</v>
      </c>
      <c r="J46" s="9">
        <v>-2134</v>
      </c>
      <c r="K46" s="9">
        <v>-2240</v>
      </c>
      <c r="L46" s="9">
        <v>-2343</v>
      </c>
      <c r="M46" s="9">
        <v>-2424</v>
      </c>
      <c r="N46" s="88">
        <v>-129135</v>
      </c>
      <c r="O46" s="88">
        <v>-141463</v>
      </c>
    </row>
    <row r="47" spans="1:16" x14ac:dyDescent="0.35">
      <c r="A47" t="s">
        <v>170</v>
      </c>
      <c r="B47">
        <v>70303</v>
      </c>
      <c r="C47" s="13" t="s">
        <v>184</v>
      </c>
      <c r="D47" s="9">
        <v>-8268</v>
      </c>
      <c r="E47" s="9">
        <v>-6519</v>
      </c>
      <c r="F47" s="9">
        <v>-6183</v>
      </c>
      <c r="G47" s="9">
        <v>-5673</v>
      </c>
      <c r="H47" s="9">
        <v>-5260</v>
      </c>
      <c r="I47" s="9">
        <v>-5278</v>
      </c>
      <c r="J47" s="9">
        <v>-5507</v>
      </c>
      <c r="K47" s="9">
        <v>-5529</v>
      </c>
      <c r="L47" s="9">
        <v>-6043</v>
      </c>
      <c r="M47" s="9">
        <v>-6250</v>
      </c>
      <c r="N47" s="88">
        <v>-31903</v>
      </c>
      <c r="O47" s="88">
        <v>-60511</v>
      </c>
    </row>
    <row r="48" spans="1:16" x14ac:dyDescent="0.35">
      <c r="A48" t="s">
        <v>170</v>
      </c>
      <c r="B48">
        <v>70304</v>
      </c>
      <c r="C48" s="13" t="s">
        <v>185</v>
      </c>
      <c r="D48" s="9">
        <v>0</v>
      </c>
      <c r="E48" s="9">
        <v>-102</v>
      </c>
      <c r="F48" s="9">
        <v>-260</v>
      </c>
      <c r="G48" s="9">
        <v>-379</v>
      </c>
      <c r="H48" s="9">
        <v>-489</v>
      </c>
      <c r="I48" s="9">
        <v>-610</v>
      </c>
      <c r="J48" s="9">
        <v>-737</v>
      </c>
      <c r="K48" s="9">
        <v>-870</v>
      </c>
      <c r="L48" s="9">
        <v>-972</v>
      </c>
      <c r="M48" s="9">
        <v>-1036</v>
      </c>
      <c r="N48" s="88">
        <v>-1230</v>
      </c>
      <c r="O48" s="88">
        <v>-5454</v>
      </c>
    </row>
    <row r="49" spans="1:17" x14ac:dyDescent="0.35">
      <c r="A49" t="s">
        <v>170</v>
      </c>
      <c r="B49">
        <v>70305</v>
      </c>
      <c r="C49" s="13" t="s">
        <v>186</v>
      </c>
      <c r="D49" s="9">
        <v>0</v>
      </c>
      <c r="E49" s="9">
        <v>-42</v>
      </c>
      <c r="F49" s="9">
        <v>-96</v>
      </c>
      <c r="G49" s="9">
        <v>-100</v>
      </c>
      <c r="H49" s="9">
        <v>-106</v>
      </c>
      <c r="I49" s="9">
        <v>-112</v>
      </c>
      <c r="J49" s="9">
        <v>-116</v>
      </c>
      <c r="K49" s="9">
        <v>-120</v>
      </c>
      <c r="L49" s="9">
        <v>-125</v>
      </c>
      <c r="M49" s="9">
        <v>-131</v>
      </c>
      <c r="N49" s="88">
        <v>-344</v>
      </c>
      <c r="O49" s="88">
        <v>-948</v>
      </c>
    </row>
    <row r="50" spans="1:17" x14ac:dyDescent="0.35">
      <c r="A50" t="s">
        <v>170</v>
      </c>
      <c r="B50">
        <v>70306</v>
      </c>
      <c r="C50" s="13" t="s">
        <v>187</v>
      </c>
      <c r="D50" s="9">
        <v>-2301</v>
      </c>
      <c r="E50" s="9">
        <v>-4292</v>
      </c>
      <c r="F50" s="9">
        <v>-3613</v>
      </c>
      <c r="G50" s="9">
        <v>-2995</v>
      </c>
      <c r="H50" s="9">
        <v>-2516</v>
      </c>
      <c r="I50" s="9">
        <v>-2116</v>
      </c>
      <c r="J50" s="9">
        <v>-1873</v>
      </c>
      <c r="K50" s="9">
        <v>-1757</v>
      </c>
      <c r="L50" s="9">
        <v>-1697</v>
      </c>
      <c r="M50" s="9">
        <v>-1662</v>
      </c>
      <c r="N50" s="88">
        <v>-15717</v>
      </c>
      <c r="O50" s="88">
        <v>-24822</v>
      </c>
    </row>
    <row r="51" spans="1:17" x14ac:dyDescent="0.35">
      <c r="A51" t="s">
        <v>170</v>
      </c>
      <c r="B51">
        <v>70307</v>
      </c>
      <c r="C51" s="13" t="s">
        <v>188</v>
      </c>
      <c r="D51" s="9">
        <v>-2167</v>
      </c>
      <c r="E51" s="9">
        <v>-30280</v>
      </c>
      <c r="F51" s="9">
        <v>-34374</v>
      </c>
      <c r="G51" s="9">
        <v>-33959</v>
      </c>
      <c r="H51" s="9">
        <v>-28524</v>
      </c>
      <c r="I51" s="9">
        <v>-18339</v>
      </c>
      <c r="J51" s="9">
        <v>-4229</v>
      </c>
      <c r="K51" s="9">
        <v>1926</v>
      </c>
      <c r="L51" s="9">
        <v>3950</v>
      </c>
      <c r="M51" s="9">
        <v>4600</v>
      </c>
      <c r="N51" s="88">
        <v>-129304</v>
      </c>
      <c r="O51" s="88">
        <v>-141396</v>
      </c>
    </row>
    <row r="52" spans="1:17" x14ac:dyDescent="0.35">
      <c r="A52" t="s">
        <v>170</v>
      </c>
      <c r="B52">
        <v>70308</v>
      </c>
      <c r="C52" s="13" t="s">
        <v>189</v>
      </c>
      <c r="D52" s="9">
        <v>0</v>
      </c>
      <c r="E52" s="9">
        <v>-1728</v>
      </c>
      <c r="F52" s="9">
        <v>-2876</v>
      </c>
      <c r="G52" s="9">
        <v>-3566</v>
      </c>
      <c r="H52" s="9">
        <v>-2140</v>
      </c>
      <c r="I52" s="9">
        <v>-858</v>
      </c>
      <c r="J52" s="9">
        <v>-1024</v>
      </c>
      <c r="K52" s="9">
        <v>-1057</v>
      </c>
      <c r="L52" s="9">
        <v>-868</v>
      </c>
      <c r="M52" s="9">
        <v>-794</v>
      </c>
      <c r="N52" s="88">
        <v>-10310</v>
      </c>
      <c r="O52" s="88">
        <v>-14911</v>
      </c>
    </row>
    <row r="53" spans="1:17" x14ac:dyDescent="0.35">
      <c r="A53" t="s">
        <v>170</v>
      </c>
      <c r="B53">
        <v>70309</v>
      </c>
      <c r="C53" s="13" t="s">
        <v>190</v>
      </c>
      <c r="D53" s="9">
        <v>0</v>
      </c>
      <c r="E53" s="9">
        <v>-11</v>
      </c>
      <c r="F53" s="9">
        <v>-35</v>
      </c>
      <c r="G53" s="9">
        <v>-68</v>
      </c>
      <c r="H53" s="9">
        <v>-98</v>
      </c>
      <c r="I53" s="9">
        <v>-123</v>
      </c>
      <c r="J53" s="9">
        <v>-142</v>
      </c>
      <c r="K53" s="9">
        <v>-162</v>
      </c>
      <c r="L53" s="9">
        <v>-183</v>
      </c>
      <c r="M53" s="9">
        <v>-204</v>
      </c>
      <c r="N53" s="88">
        <v>-212</v>
      </c>
      <c r="O53" s="88">
        <v>-1026</v>
      </c>
    </row>
    <row r="54" spans="1:17" x14ac:dyDescent="0.35">
      <c r="A54" t="s">
        <v>170</v>
      </c>
      <c r="B54">
        <v>70311</v>
      </c>
      <c r="C54" s="13" t="s">
        <v>191</v>
      </c>
      <c r="D54" s="9">
        <v>0</v>
      </c>
      <c r="E54" s="9">
        <v>-1347</v>
      </c>
      <c r="F54" s="9">
        <v>-2806</v>
      </c>
      <c r="G54" s="9">
        <v>-3070</v>
      </c>
      <c r="H54" s="9">
        <v>-3543</v>
      </c>
      <c r="I54" s="9">
        <v>-3707</v>
      </c>
      <c r="J54" s="9">
        <v>-3698</v>
      </c>
      <c r="K54" s="9">
        <v>-3775</v>
      </c>
      <c r="L54" s="9">
        <v>-3810</v>
      </c>
      <c r="M54" s="9">
        <v>-3975</v>
      </c>
      <c r="N54" s="88">
        <v>-10766</v>
      </c>
      <c r="O54" s="88">
        <v>-29730</v>
      </c>
    </row>
    <row r="55" spans="1:17" x14ac:dyDescent="0.35">
      <c r="A55" t="s">
        <v>170</v>
      </c>
      <c r="B55">
        <v>70312</v>
      </c>
      <c r="C55" s="13" t="s">
        <v>192</v>
      </c>
      <c r="D55" s="9" t="s">
        <v>181</v>
      </c>
      <c r="E55" s="9">
        <v>-1476</v>
      </c>
      <c r="F55" s="9">
        <v>-3444</v>
      </c>
      <c r="G55" s="9">
        <v>-4036</v>
      </c>
      <c r="H55" s="9">
        <v>-3482</v>
      </c>
      <c r="I55" s="9">
        <v>-2561</v>
      </c>
      <c r="J55" s="9">
        <v>-2315</v>
      </c>
      <c r="K55" s="9">
        <v>-2441</v>
      </c>
      <c r="L55" s="9">
        <v>-2557</v>
      </c>
      <c r="M55" s="9">
        <v>-2405</v>
      </c>
      <c r="N55" s="88">
        <v>-12438</v>
      </c>
      <c r="O55" s="88">
        <v>-24716</v>
      </c>
    </row>
    <row r="56" spans="1:17" x14ac:dyDescent="0.35">
      <c r="A56" t="s">
        <v>170</v>
      </c>
      <c r="B56">
        <v>70313</v>
      </c>
      <c r="C56" s="13" t="s">
        <v>193</v>
      </c>
      <c r="D56" s="9">
        <v>0</v>
      </c>
      <c r="E56" s="9">
        <v>-462</v>
      </c>
      <c r="F56" s="9">
        <v>-756</v>
      </c>
      <c r="G56" s="9">
        <v>-644</v>
      </c>
      <c r="H56" s="9">
        <v>-813</v>
      </c>
      <c r="I56" s="9">
        <v>-857</v>
      </c>
      <c r="J56" s="9">
        <v>-704</v>
      </c>
      <c r="K56" s="9">
        <v>-618</v>
      </c>
      <c r="L56" s="9">
        <v>-647</v>
      </c>
      <c r="M56" s="9">
        <v>-874</v>
      </c>
      <c r="N56" s="88">
        <v>-2675</v>
      </c>
      <c r="O56" s="88">
        <v>-6376</v>
      </c>
    </row>
    <row r="57" spans="1:17" x14ac:dyDescent="0.35">
      <c r="A57" t="s">
        <v>170</v>
      </c>
      <c r="B57">
        <v>70321</v>
      </c>
      <c r="C57" s="13" t="s">
        <v>194</v>
      </c>
      <c r="D57" s="9">
        <v>0</v>
      </c>
      <c r="E57" s="9">
        <v>-4131</v>
      </c>
      <c r="F57" s="9">
        <v>-7871</v>
      </c>
      <c r="G57" s="9">
        <v>-8053</v>
      </c>
      <c r="H57" s="9">
        <v>-10963</v>
      </c>
      <c r="I57" s="9">
        <v>-11487</v>
      </c>
      <c r="J57" s="9">
        <v>-10024</v>
      </c>
      <c r="K57" s="9">
        <v>-11231</v>
      </c>
      <c r="L57" s="9">
        <v>-11910</v>
      </c>
      <c r="M57" s="9">
        <v>-11279</v>
      </c>
      <c r="N57" s="88">
        <v>-31018</v>
      </c>
      <c r="O57" s="88">
        <v>-86949</v>
      </c>
    </row>
    <row r="58" spans="1:17" x14ac:dyDescent="0.35">
      <c r="A58" t="s">
        <v>170</v>
      </c>
      <c r="B58">
        <v>70322</v>
      </c>
      <c r="C58" s="13" t="s">
        <v>195</v>
      </c>
      <c r="D58" s="9">
        <v>0</v>
      </c>
      <c r="E58" s="9">
        <v>-2080</v>
      </c>
      <c r="F58" s="9">
        <v>-3553</v>
      </c>
      <c r="G58" s="9">
        <v>-2684</v>
      </c>
      <c r="H58" s="9">
        <v>-1008</v>
      </c>
      <c r="I58" s="9">
        <v>391</v>
      </c>
      <c r="J58" s="9">
        <v>539</v>
      </c>
      <c r="K58" s="9">
        <v>474</v>
      </c>
      <c r="L58" s="9">
        <v>100</v>
      </c>
      <c r="M58" s="9">
        <v>227</v>
      </c>
      <c r="N58" s="88">
        <v>-9325</v>
      </c>
      <c r="O58" s="88">
        <v>-7595</v>
      </c>
    </row>
    <row r="59" spans="1:17" x14ac:dyDescent="0.35">
      <c r="A59" t="s">
        <v>170</v>
      </c>
      <c r="B59">
        <v>70323</v>
      </c>
      <c r="C59" s="13" t="s">
        <v>196</v>
      </c>
      <c r="D59">
        <v>0</v>
      </c>
      <c r="E59">
        <v>-394</v>
      </c>
      <c r="F59">
        <v>-1351</v>
      </c>
      <c r="G59">
        <v>-1602</v>
      </c>
      <c r="H59">
        <v>-741</v>
      </c>
      <c r="I59">
        <v>-462</v>
      </c>
      <c r="J59">
        <v>-536</v>
      </c>
      <c r="K59">
        <v>-396</v>
      </c>
      <c r="L59">
        <v>-549</v>
      </c>
      <c r="M59">
        <v>-608</v>
      </c>
      <c r="N59" s="91">
        <v>-4088</v>
      </c>
      <c r="O59" s="91">
        <v>-6639</v>
      </c>
    </row>
    <row r="60" spans="1:17" x14ac:dyDescent="0.35">
      <c r="A60" t="s">
        <v>170</v>
      </c>
      <c r="B60">
        <v>70331</v>
      </c>
      <c r="C60" s="13" t="s">
        <v>197</v>
      </c>
      <c r="D60" s="9">
        <v>0</v>
      </c>
      <c r="E60" s="9">
        <v>-1861</v>
      </c>
      <c r="F60" s="9">
        <v>-2703</v>
      </c>
      <c r="G60" s="9">
        <v>-2110</v>
      </c>
      <c r="H60" s="9">
        <v>-3147</v>
      </c>
      <c r="I60" s="9">
        <v>-4030</v>
      </c>
      <c r="J60" s="9">
        <v>-4227</v>
      </c>
      <c r="K60" s="9">
        <v>-4137</v>
      </c>
      <c r="L60" s="9">
        <v>-4135</v>
      </c>
      <c r="M60" s="9">
        <v>-4209</v>
      </c>
      <c r="N60" s="88">
        <v>-9821</v>
      </c>
      <c r="O60" s="88">
        <v>-30559</v>
      </c>
    </row>
    <row r="61" spans="1:17" x14ac:dyDescent="0.35">
      <c r="A61" t="s">
        <v>170</v>
      </c>
      <c r="B61">
        <v>70341</v>
      </c>
      <c r="C61" s="13" t="s">
        <v>198</v>
      </c>
      <c r="D61">
        <v>0</v>
      </c>
      <c r="E61">
        <v>360</v>
      </c>
      <c r="F61">
        <v>887</v>
      </c>
      <c r="G61">
        <v>1142</v>
      </c>
      <c r="H61">
        <v>1277</v>
      </c>
      <c r="I61">
        <v>1373</v>
      </c>
      <c r="J61">
        <v>1473</v>
      </c>
      <c r="K61">
        <v>1575</v>
      </c>
      <c r="L61">
        <v>1680</v>
      </c>
      <c r="M61">
        <v>1789</v>
      </c>
      <c r="N61" s="91">
        <v>3666</v>
      </c>
      <c r="O61" s="91">
        <v>11557</v>
      </c>
    </row>
    <row r="62" spans="1:17" x14ac:dyDescent="0.35">
      <c r="A62" t="s">
        <v>170</v>
      </c>
      <c r="B62">
        <v>70342</v>
      </c>
      <c r="C62" s="13" t="s">
        <v>199</v>
      </c>
      <c r="D62" s="9">
        <v>0</v>
      </c>
      <c r="E62" s="9">
        <v>660</v>
      </c>
      <c r="F62" s="9">
        <v>1438</v>
      </c>
      <c r="G62" s="9">
        <v>1357</v>
      </c>
      <c r="H62" s="9">
        <v>1144</v>
      </c>
      <c r="I62" s="9">
        <v>1077</v>
      </c>
      <c r="J62" s="9">
        <v>1065</v>
      </c>
      <c r="K62" s="9">
        <v>1100</v>
      </c>
      <c r="L62" s="9">
        <v>1154</v>
      </c>
      <c r="M62" s="9">
        <v>1195</v>
      </c>
      <c r="N62" s="88">
        <v>4599</v>
      </c>
      <c r="O62" s="88">
        <v>10191</v>
      </c>
    </row>
    <row r="63" spans="1:17" x14ac:dyDescent="0.35">
      <c r="A63" t="s">
        <v>170</v>
      </c>
      <c r="B63">
        <v>70351</v>
      </c>
      <c r="C63" s="13" t="s">
        <v>307</v>
      </c>
      <c r="D63" s="14">
        <v>0</v>
      </c>
      <c r="E63" s="14">
        <v>-534</v>
      </c>
      <c r="F63" s="14">
        <v>-996</v>
      </c>
      <c r="G63" s="15">
        <v>-1080</v>
      </c>
      <c r="H63" s="15">
        <v>-1146</v>
      </c>
      <c r="I63" s="15">
        <v>-1095</v>
      </c>
      <c r="J63" s="15">
        <v>-1178</v>
      </c>
      <c r="K63" s="15">
        <v>-1183</v>
      </c>
      <c r="L63" s="15">
        <v>-1194</v>
      </c>
      <c r="M63" s="15">
        <v>-1290</v>
      </c>
      <c r="N63" s="85">
        <v>-3756</v>
      </c>
      <c r="O63" s="91">
        <v>-9696</v>
      </c>
      <c r="P63" s="94">
        <v>70351</v>
      </c>
      <c r="Q63" t="s">
        <v>328</v>
      </c>
    </row>
    <row r="64" spans="1:17" x14ac:dyDescent="0.35">
      <c r="A64" t="s">
        <v>170</v>
      </c>
      <c r="B64">
        <v>70352</v>
      </c>
      <c r="C64" s="13" t="s">
        <v>308</v>
      </c>
      <c r="D64" s="14">
        <v>0</v>
      </c>
      <c r="E64" s="14">
        <v>393</v>
      </c>
      <c r="F64" s="14">
        <v>393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84">
        <v>785</v>
      </c>
      <c r="O64" s="84">
        <v>785</v>
      </c>
    </row>
    <row r="65" spans="1:15" x14ac:dyDescent="0.35">
      <c r="A65" t="s">
        <v>170</v>
      </c>
      <c r="B65">
        <v>70353</v>
      </c>
      <c r="C65" s="95" t="s">
        <v>309</v>
      </c>
      <c r="D65" s="14">
        <v>0</v>
      </c>
      <c r="E65" s="14">
        <v>-316</v>
      </c>
      <c r="F65" s="14">
        <v>-332</v>
      </c>
      <c r="G65" s="14">
        <v>-347</v>
      </c>
      <c r="H65" s="14">
        <v>-361</v>
      </c>
      <c r="I65" s="14">
        <v>-376</v>
      </c>
      <c r="J65" s="14">
        <v>-393</v>
      </c>
      <c r="K65" s="14">
        <v>-410</v>
      </c>
      <c r="L65" s="14">
        <v>-428</v>
      </c>
      <c r="M65" s="14">
        <v>-446</v>
      </c>
      <c r="N65" s="85">
        <v>-1356</v>
      </c>
      <c r="O65" s="85">
        <v>-3408</v>
      </c>
    </row>
    <row r="66" spans="1:15" x14ac:dyDescent="0.35">
      <c r="A66" t="s">
        <v>170</v>
      </c>
      <c r="B66">
        <v>70354</v>
      </c>
      <c r="C66" s="13" t="s">
        <v>310</v>
      </c>
      <c r="D66" s="14">
        <v>0</v>
      </c>
      <c r="E66" s="14">
        <v>867</v>
      </c>
      <c r="F66" s="15">
        <v>1794</v>
      </c>
      <c r="G66" s="15">
        <v>2210</v>
      </c>
      <c r="H66" s="15">
        <v>2098</v>
      </c>
      <c r="I66" s="15">
        <v>1615</v>
      </c>
      <c r="J66" s="15">
        <v>1808</v>
      </c>
      <c r="K66" s="15">
        <v>1908</v>
      </c>
      <c r="L66" s="15">
        <v>1936</v>
      </c>
      <c r="M66" s="15">
        <v>2094</v>
      </c>
      <c r="N66" s="85">
        <v>6969</v>
      </c>
      <c r="O66" s="85">
        <v>16331</v>
      </c>
    </row>
    <row r="67" spans="1:15" x14ac:dyDescent="0.35">
      <c r="A67" t="s">
        <v>170</v>
      </c>
      <c r="B67">
        <v>70531</v>
      </c>
      <c r="C67" s="13" t="s">
        <v>180</v>
      </c>
      <c r="D67" s="14">
        <v>0</v>
      </c>
      <c r="E67" s="14">
        <v>0</v>
      </c>
      <c r="F67" s="15">
        <v>1232</v>
      </c>
      <c r="G67" s="15">
        <v>4989</v>
      </c>
      <c r="H67" s="15">
        <v>5054</v>
      </c>
      <c r="I67" s="15">
        <v>5140</v>
      </c>
      <c r="J67" s="15">
        <v>5264</v>
      </c>
      <c r="K67" s="15">
        <v>5404</v>
      </c>
      <c r="L67" s="15">
        <v>5547</v>
      </c>
      <c r="M67" s="15">
        <v>5688</v>
      </c>
      <c r="N67" s="85">
        <v>11275</v>
      </c>
      <c r="O67" s="85">
        <v>38318</v>
      </c>
    </row>
    <row r="68" spans="1:15" x14ac:dyDescent="0.35">
      <c r="D68" s="89">
        <f t="shared" ref="D68:O68" si="2">SUM(D45:D67)</f>
        <v>-100034</v>
      </c>
      <c r="E68" s="89">
        <f t="shared" si="2"/>
        <v>-152003</v>
      </c>
      <c r="F68" s="89">
        <f t="shared" si="2"/>
        <v>-151204</v>
      </c>
      <c r="G68" s="89">
        <f t="shared" si="2"/>
        <v>-131969</v>
      </c>
      <c r="H68" s="89">
        <f t="shared" si="2"/>
        <v>-103083</v>
      </c>
      <c r="I68" s="89">
        <f t="shared" si="2"/>
        <v>-74573</v>
      </c>
      <c r="J68" s="89">
        <f t="shared" si="2"/>
        <v>-50248</v>
      </c>
      <c r="K68" s="89">
        <f t="shared" si="2"/>
        <v>-41341</v>
      </c>
      <c r="L68" s="89">
        <f t="shared" si="2"/>
        <v>-39350</v>
      </c>
      <c r="M68" s="89">
        <f t="shared" si="2"/>
        <v>-37865</v>
      </c>
      <c r="N68" s="100">
        <f t="shared" si="2"/>
        <v>-638294</v>
      </c>
      <c r="O68" s="100">
        <f t="shared" si="2"/>
        <v>-881667</v>
      </c>
    </row>
    <row r="69" spans="1:15" x14ac:dyDescent="0.35">
      <c r="A69" t="s">
        <v>329</v>
      </c>
    </row>
  </sheetData>
  <mergeCells count="1">
    <mergeCell ref="D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B294-A86D-46D0-A8A0-2BBAEAFD59B7}">
  <dimension ref="A1:M8"/>
  <sheetViews>
    <sheetView workbookViewId="0">
      <selection activeCell="B2" sqref="B2"/>
    </sheetView>
  </sheetViews>
  <sheetFormatPr defaultRowHeight="14.5" x14ac:dyDescent="0.35"/>
  <cols>
    <col min="1" max="1" width="19.54296875" customWidth="1"/>
    <col min="12" max="13" width="10.1796875" bestFit="1" customWidth="1"/>
  </cols>
  <sheetData>
    <row r="1" spans="1:13" x14ac:dyDescent="0.35"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 t="s">
        <v>330</v>
      </c>
      <c r="M1" t="s">
        <v>331</v>
      </c>
    </row>
    <row r="2" spans="1:13" ht="70.5" customHeight="1" x14ac:dyDescent="0.35">
      <c r="A2" s="101" t="s">
        <v>332</v>
      </c>
    </row>
    <row r="3" spans="1:13" ht="43.5" x14ac:dyDescent="0.35">
      <c r="A3" s="101" t="s">
        <v>333</v>
      </c>
    </row>
    <row r="8" spans="1:13" x14ac:dyDescent="0.35">
      <c r="A8" t="s">
        <v>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E2B7-FB80-4318-9170-35DD4F473068}">
  <dimension ref="A1:O101"/>
  <sheetViews>
    <sheetView zoomScaleNormal="10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D15" sqref="D15"/>
    </sheetView>
  </sheetViews>
  <sheetFormatPr defaultRowHeight="14.5" x14ac:dyDescent="0.35"/>
  <cols>
    <col min="1" max="1" width="11.1796875" bestFit="1" customWidth="1"/>
    <col min="2" max="2" width="39.1796875" customWidth="1"/>
    <col min="3" max="13" width="9.1796875" bestFit="1" customWidth="1"/>
    <col min="14" max="14" width="12" customWidth="1"/>
  </cols>
  <sheetData>
    <row r="1" spans="1:15" x14ac:dyDescent="0.35">
      <c r="C1" s="113" t="s">
        <v>156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5" ht="29" x14ac:dyDescent="0.35">
      <c r="A2" t="s">
        <v>157</v>
      </c>
      <c r="B2" t="s">
        <v>53</v>
      </c>
      <c r="C2" s="107">
        <v>2025</v>
      </c>
      <c r="D2" s="107">
        <v>2026</v>
      </c>
      <c r="E2" s="107">
        <v>2027</v>
      </c>
      <c r="F2" s="107">
        <v>2028</v>
      </c>
      <c r="G2" s="107">
        <v>2029</v>
      </c>
      <c r="H2" s="107">
        <v>2030</v>
      </c>
      <c r="I2" s="107">
        <v>2031</v>
      </c>
      <c r="J2" s="107">
        <v>2032</v>
      </c>
      <c r="K2" s="107">
        <v>2033</v>
      </c>
      <c r="L2" s="107">
        <v>2034</v>
      </c>
      <c r="M2" s="108" t="s">
        <v>158</v>
      </c>
      <c r="N2" s="108" t="s">
        <v>159</v>
      </c>
    </row>
    <row r="3" spans="1:15" x14ac:dyDescent="0.35">
      <c r="A3">
        <v>71101</v>
      </c>
      <c r="B3" t="s">
        <v>335</v>
      </c>
      <c r="C3" s="30">
        <v>0</v>
      </c>
      <c r="D3" s="32">
        <v>-1668</v>
      </c>
      <c r="E3" s="32">
        <v>-5243</v>
      </c>
      <c r="F3" s="32">
        <v>-7318</v>
      </c>
      <c r="G3" s="32">
        <v>-7649</v>
      </c>
      <c r="H3" s="32">
        <v>-8044</v>
      </c>
      <c r="I3" s="32">
        <v>-8411</v>
      </c>
      <c r="J3" s="32">
        <v>-8796</v>
      </c>
      <c r="K3" s="32">
        <v>-9251</v>
      </c>
      <c r="L3" s="32">
        <v>-9628</v>
      </c>
      <c r="M3" s="111">
        <f t="shared" ref="M3:M22" si="0">SUM(C3:G3)</f>
        <v>-21878</v>
      </c>
      <c r="N3" s="109">
        <f t="shared" ref="N3:N22" si="1">SUM(C3:L3)</f>
        <v>-66008</v>
      </c>
      <c r="O3" s="109"/>
    </row>
    <row r="4" spans="1:15" x14ac:dyDescent="0.35">
      <c r="A4">
        <v>71102</v>
      </c>
      <c r="B4" t="s">
        <v>336</v>
      </c>
      <c r="C4" s="9">
        <v>0</v>
      </c>
      <c r="D4" s="32">
        <v>-4020</v>
      </c>
      <c r="E4" s="32">
        <v>-5617</v>
      </c>
      <c r="F4" s="32">
        <v>-5794</v>
      </c>
      <c r="G4" s="32">
        <v>-6080</v>
      </c>
      <c r="H4" s="32">
        <v>-6337</v>
      </c>
      <c r="I4" s="32">
        <v>-6592</v>
      </c>
      <c r="J4" s="32">
        <v>-6859</v>
      </c>
      <c r="K4" s="32">
        <v>-7140</v>
      </c>
      <c r="L4" s="32">
        <v>-7416</v>
      </c>
      <c r="M4" s="111">
        <f t="shared" si="0"/>
        <v>-21511</v>
      </c>
      <c r="N4" s="109">
        <f t="shared" si="1"/>
        <v>-55855</v>
      </c>
      <c r="O4" s="81"/>
    </row>
    <row r="5" spans="1:15" x14ac:dyDescent="0.35">
      <c r="A5">
        <v>71103</v>
      </c>
      <c r="B5" t="s">
        <v>337</v>
      </c>
      <c r="C5" s="110">
        <v>0</v>
      </c>
      <c r="D5" s="110">
        <v>1</v>
      </c>
      <c r="E5" s="110">
        <v>2</v>
      </c>
      <c r="F5" s="110">
        <v>3</v>
      </c>
      <c r="G5" s="110">
        <v>4</v>
      </c>
      <c r="H5" s="110">
        <v>-2774</v>
      </c>
      <c r="I5" s="110">
        <v>-3842</v>
      </c>
      <c r="J5" s="110">
        <v>-3059</v>
      </c>
      <c r="K5" s="110">
        <v>-3803</v>
      </c>
      <c r="L5" s="110">
        <v>-3951</v>
      </c>
      <c r="M5" s="111">
        <f t="shared" si="0"/>
        <v>10</v>
      </c>
      <c r="N5" s="109">
        <f t="shared" si="1"/>
        <v>-17419</v>
      </c>
      <c r="O5" s="81"/>
    </row>
    <row r="6" spans="1:15" x14ac:dyDescent="0.35">
      <c r="A6">
        <v>71104</v>
      </c>
      <c r="B6" t="s">
        <v>338</v>
      </c>
      <c r="C6" s="30">
        <v>0</v>
      </c>
      <c r="D6" s="32">
        <v>0</v>
      </c>
      <c r="E6" s="32" t="s">
        <v>181</v>
      </c>
      <c r="F6" s="32" t="s">
        <v>181</v>
      </c>
      <c r="G6" s="32" t="s">
        <v>181</v>
      </c>
      <c r="H6" s="32" t="s">
        <v>181</v>
      </c>
      <c r="I6" s="32" t="s">
        <v>181</v>
      </c>
      <c r="J6" s="32" t="s">
        <v>181</v>
      </c>
      <c r="K6" s="32" t="s">
        <v>181</v>
      </c>
      <c r="L6" s="32" t="s">
        <v>181</v>
      </c>
      <c r="M6" s="111">
        <f t="shared" si="0"/>
        <v>0</v>
      </c>
      <c r="N6" s="109">
        <f t="shared" si="1"/>
        <v>0</v>
      </c>
      <c r="O6" s="81"/>
    </row>
    <row r="7" spans="1:15" x14ac:dyDescent="0.35">
      <c r="A7">
        <v>71105</v>
      </c>
      <c r="B7" t="s">
        <v>339</v>
      </c>
      <c r="C7" s="30">
        <v>0</v>
      </c>
      <c r="D7" s="30">
        <v>0</v>
      </c>
      <c r="E7" s="30">
        <v>0</v>
      </c>
      <c r="F7" s="30" t="s">
        <v>181</v>
      </c>
      <c r="G7" s="30" t="s">
        <v>181</v>
      </c>
      <c r="H7" s="30" t="s">
        <v>181</v>
      </c>
      <c r="I7" s="30" t="s">
        <v>181</v>
      </c>
      <c r="J7" s="30" t="s">
        <v>181</v>
      </c>
      <c r="K7" s="30" t="s">
        <v>181</v>
      </c>
      <c r="L7" s="30" t="s">
        <v>181</v>
      </c>
      <c r="M7" s="111">
        <f t="shared" si="0"/>
        <v>0</v>
      </c>
      <c r="N7" s="109">
        <f t="shared" si="1"/>
        <v>0</v>
      </c>
      <c r="O7" s="81"/>
    </row>
    <row r="8" spans="1:15" x14ac:dyDescent="0.35">
      <c r="A8">
        <v>71106</v>
      </c>
      <c r="B8" t="s">
        <v>340</v>
      </c>
      <c r="C8" s="30">
        <v>0</v>
      </c>
      <c r="D8" s="30">
        <v>0</v>
      </c>
      <c r="E8" s="30">
        <v>0</v>
      </c>
      <c r="F8" s="32">
        <v>0</v>
      </c>
      <c r="G8" s="32">
        <v>0</v>
      </c>
      <c r="H8" s="32">
        <v>-108</v>
      </c>
      <c r="I8" s="32">
        <v>-3208</v>
      </c>
      <c r="J8" s="32">
        <v>-1303</v>
      </c>
      <c r="K8" s="32">
        <v>-84</v>
      </c>
      <c r="L8" s="32">
        <v>-2847</v>
      </c>
      <c r="M8" s="111">
        <f t="shared" si="0"/>
        <v>0</v>
      </c>
      <c r="N8" s="109">
        <f t="shared" si="1"/>
        <v>-7550</v>
      </c>
      <c r="O8" s="81"/>
    </row>
    <row r="9" spans="1:15" x14ac:dyDescent="0.35">
      <c r="A9">
        <v>71107</v>
      </c>
      <c r="B9" t="s">
        <v>341</v>
      </c>
      <c r="C9" s="30">
        <v>0</v>
      </c>
      <c r="D9" s="30">
        <v>4</v>
      </c>
      <c r="E9" s="32">
        <v>-5083</v>
      </c>
      <c r="F9" s="32">
        <v>-7071</v>
      </c>
      <c r="G9" s="32">
        <v>-7461</v>
      </c>
      <c r="H9" s="32">
        <v>-7809</v>
      </c>
      <c r="I9" s="32">
        <v>-8180</v>
      </c>
      <c r="J9" s="32">
        <v>-8560</v>
      </c>
      <c r="K9" s="32">
        <v>-8978</v>
      </c>
      <c r="L9" s="32">
        <v>-9392</v>
      </c>
      <c r="M9" s="111">
        <f t="shared" si="0"/>
        <v>-19611</v>
      </c>
      <c r="N9" s="109">
        <f t="shared" si="1"/>
        <v>-62530</v>
      </c>
      <c r="O9" s="81"/>
    </row>
    <row r="10" spans="1:15" x14ac:dyDescent="0.35">
      <c r="A10">
        <v>71108</v>
      </c>
      <c r="B10" s="121" t="s">
        <v>342</v>
      </c>
      <c r="C10" s="30">
        <v>-1</v>
      </c>
      <c r="D10" s="30">
        <v>-5</v>
      </c>
      <c r="E10" s="30">
        <v>-5</v>
      </c>
      <c r="F10" s="30">
        <v>-11</v>
      </c>
      <c r="G10" s="30">
        <v>-20</v>
      </c>
      <c r="H10" s="30">
        <v>-24</v>
      </c>
      <c r="I10" s="30">
        <v>-28</v>
      </c>
      <c r="J10" s="30">
        <v>-32</v>
      </c>
      <c r="K10" s="30">
        <v>-38</v>
      </c>
      <c r="L10" s="30">
        <v>-31</v>
      </c>
      <c r="M10" s="111">
        <f t="shared" si="0"/>
        <v>-42</v>
      </c>
      <c r="N10" s="109">
        <f t="shared" si="1"/>
        <v>-195</v>
      </c>
      <c r="O10" s="81"/>
    </row>
    <row r="11" spans="1:15" x14ac:dyDescent="0.35">
      <c r="A11">
        <v>71109</v>
      </c>
      <c r="B11" s="121" t="s">
        <v>343</v>
      </c>
      <c r="C11" s="30">
        <v>0</v>
      </c>
      <c r="D11" s="30">
        <v>-372</v>
      </c>
      <c r="E11" s="30">
        <v>-588</v>
      </c>
      <c r="F11" s="30">
        <v>-665</v>
      </c>
      <c r="G11" s="30">
        <v>-703</v>
      </c>
      <c r="H11" s="30">
        <v>-726</v>
      </c>
      <c r="I11" s="30">
        <v>-758</v>
      </c>
      <c r="J11" s="30">
        <v>-778</v>
      </c>
      <c r="K11" s="30">
        <v>-798</v>
      </c>
      <c r="L11" s="30">
        <v>-823</v>
      </c>
      <c r="M11" s="111">
        <f t="shared" si="0"/>
        <v>-2328</v>
      </c>
      <c r="N11" s="109">
        <f t="shared" si="1"/>
        <v>-6211</v>
      </c>
      <c r="O11" s="81"/>
    </row>
    <row r="12" spans="1:15" x14ac:dyDescent="0.35">
      <c r="A12">
        <v>71110</v>
      </c>
      <c r="B12" s="121" t="s">
        <v>344</v>
      </c>
      <c r="C12" s="30">
        <v>0</v>
      </c>
      <c r="D12" s="30">
        <v>0</v>
      </c>
      <c r="E12" s="30">
        <v>-2459</v>
      </c>
      <c r="F12" s="30">
        <v>-3112</v>
      </c>
      <c r="G12" s="30">
        <v>-3285</v>
      </c>
      <c r="H12" s="30">
        <v>-3466</v>
      </c>
      <c r="I12" s="30">
        <v>-3658</v>
      </c>
      <c r="J12" s="30">
        <v>-3856</v>
      </c>
      <c r="K12" s="30">
        <v>-4070</v>
      </c>
      <c r="L12" s="30">
        <v>-4294</v>
      </c>
      <c r="M12" s="111">
        <f t="shared" si="0"/>
        <v>-8856</v>
      </c>
      <c r="N12" s="109">
        <f t="shared" si="1"/>
        <v>-28200</v>
      </c>
      <c r="O12" s="81"/>
    </row>
    <row r="13" spans="1:15" x14ac:dyDescent="0.35">
      <c r="A13">
        <v>71111</v>
      </c>
      <c r="B13" s="121" t="s">
        <v>345</v>
      </c>
      <c r="C13" s="30">
        <v>0</v>
      </c>
      <c r="D13" s="32">
        <v>-287</v>
      </c>
      <c r="E13" s="32">
        <v>-987</v>
      </c>
      <c r="F13" s="32">
        <v>-2061</v>
      </c>
      <c r="G13" s="32">
        <v>-3020</v>
      </c>
      <c r="H13" s="32">
        <v>-3287</v>
      </c>
      <c r="I13" s="32">
        <v>-3323</v>
      </c>
      <c r="J13" s="32">
        <v>-3354</v>
      </c>
      <c r="K13" s="32">
        <v>-3386</v>
      </c>
      <c r="L13" s="32">
        <v>-3418</v>
      </c>
      <c r="M13" s="111">
        <f t="shared" si="0"/>
        <v>-6355</v>
      </c>
      <c r="N13" s="109">
        <f t="shared" si="1"/>
        <v>-23123</v>
      </c>
      <c r="O13" s="81"/>
    </row>
    <row r="14" spans="1:15" x14ac:dyDescent="0.35">
      <c r="A14">
        <v>71112</v>
      </c>
      <c r="B14" s="134" t="s">
        <v>346</v>
      </c>
      <c r="C14" s="30">
        <v>0</v>
      </c>
      <c r="D14" s="32">
        <v>0</v>
      </c>
      <c r="E14" s="32">
        <v>-151</v>
      </c>
      <c r="F14" s="32">
        <v>-421</v>
      </c>
      <c r="G14" s="32">
        <v>-555</v>
      </c>
      <c r="H14" s="30">
        <v>-577</v>
      </c>
      <c r="I14" s="30">
        <v>-601</v>
      </c>
      <c r="J14" s="30">
        <v>-587</v>
      </c>
      <c r="K14" s="30">
        <v>-644</v>
      </c>
      <c r="L14" s="30">
        <v>-670</v>
      </c>
      <c r="M14" s="111">
        <f t="shared" si="0"/>
        <v>-1127</v>
      </c>
      <c r="N14" s="109">
        <f t="shared" si="1"/>
        <v>-4206</v>
      </c>
      <c r="O14" s="81"/>
    </row>
    <row r="15" spans="1:15" x14ac:dyDescent="0.35">
      <c r="A15">
        <v>71113</v>
      </c>
      <c r="B15" s="134" t="s">
        <v>347</v>
      </c>
      <c r="C15" s="30">
        <v>-44</v>
      </c>
      <c r="D15" s="32">
        <v>-31</v>
      </c>
      <c r="E15" s="32">
        <v>91</v>
      </c>
      <c r="F15" s="32">
        <v>8</v>
      </c>
      <c r="G15" s="32">
        <v>7</v>
      </c>
      <c r="H15" s="30">
        <v>6</v>
      </c>
      <c r="I15" s="30">
        <v>5</v>
      </c>
      <c r="J15" s="30">
        <v>4</v>
      </c>
      <c r="K15" s="30">
        <v>4</v>
      </c>
      <c r="L15" s="30">
        <v>3</v>
      </c>
      <c r="M15" s="111">
        <f t="shared" si="0"/>
        <v>31</v>
      </c>
      <c r="N15" s="109">
        <f t="shared" si="1"/>
        <v>53</v>
      </c>
      <c r="O15" s="81"/>
    </row>
    <row r="16" spans="1:15" x14ac:dyDescent="0.35">
      <c r="A16">
        <v>71114</v>
      </c>
      <c r="B16" s="121" t="s">
        <v>348</v>
      </c>
      <c r="C16" s="81">
        <v>0</v>
      </c>
      <c r="D16" s="81">
        <v>-953</v>
      </c>
      <c r="E16" s="81">
        <v>-1360</v>
      </c>
      <c r="F16" s="81">
        <v>-1406</v>
      </c>
      <c r="G16" s="81">
        <v>-1480</v>
      </c>
      <c r="H16">
        <v>-1545</v>
      </c>
      <c r="I16">
        <v>-1613</v>
      </c>
      <c r="J16">
        <v>-1683</v>
      </c>
      <c r="K16">
        <v>-1759</v>
      </c>
      <c r="L16">
        <v>-1830</v>
      </c>
      <c r="M16" s="111">
        <f t="shared" si="0"/>
        <v>-5199</v>
      </c>
      <c r="N16" s="109">
        <f t="shared" si="1"/>
        <v>-13629</v>
      </c>
      <c r="O16" s="81"/>
    </row>
    <row r="17" spans="1:15" x14ac:dyDescent="0.35">
      <c r="A17">
        <v>71115</v>
      </c>
      <c r="B17" s="134" t="s">
        <v>349</v>
      </c>
      <c r="C17" s="30">
        <v>0</v>
      </c>
      <c r="D17" s="30">
        <v>-2786</v>
      </c>
      <c r="E17" s="30">
        <v>-4737</v>
      </c>
      <c r="F17" s="30">
        <v>-7600</v>
      </c>
      <c r="G17" s="30">
        <v>-12294</v>
      </c>
      <c r="H17" s="30">
        <v>-18585</v>
      </c>
      <c r="I17" s="30">
        <v>-26724</v>
      </c>
      <c r="J17" s="30">
        <v>-34099</v>
      </c>
      <c r="K17" s="30">
        <v>-39317</v>
      </c>
      <c r="L17" s="30">
        <v>-44976</v>
      </c>
      <c r="M17" s="111">
        <f t="shared" si="0"/>
        <v>-27417</v>
      </c>
      <c r="N17" s="109">
        <f t="shared" si="1"/>
        <v>-191118</v>
      </c>
      <c r="O17" s="81"/>
    </row>
    <row r="18" spans="1:15" x14ac:dyDescent="0.35">
      <c r="A18">
        <v>71116</v>
      </c>
      <c r="B18" s="134" t="s">
        <v>350</v>
      </c>
      <c r="C18" s="30">
        <v>0</v>
      </c>
      <c r="D18" s="30">
        <v>-5457</v>
      </c>
      <c r="E18" s="30">
        <v>-7475</v>
      </c>
      <c r="F18" s="30">
        <v>-9271</v>
      </c>
      <c r="G18" s="30">
        <v>-13335</v>
      </c>
      <c r="H18" s="30">
        <v>-16552</v>
      </c>
      <c r="I18" s="30">
        <v>-19599</v>
      </c>
      <c r="J18" s="30">
        <v>-22846</v>
      </c>
      <c r="K18" s="30">
        <v>-25861</v>
      </c>
      <c r="L18" s="30">
        <v>-29028</v>
      </c>
      <c r="M18" s="111">
        <f t="shared" si="0"/>
        <v>-35538</v>
      </c>
      <c r="N18" s="109">
        <f t="shared" si="1"/>
        <v>-149424</v>
      </c>
      <c r="O18" s="81"/>
    </row>
    <row r="19" spans="1:15" x14ac:dyDescent="0.35">
      <c r="A19">
        <v>71117</v>
      </c>
      <c r="B19" s="121" t="s">
        <v>351</v>
      </c>
      <c r="C19" s="30">
        <v>0</v>
      </c>
      <c r="D19" s="30">
        <v>-3158</v>
      </c>
      <c r="E19" s="32">
        <v>-3426</v>
      </c>
      <c r="F19" s="32">
        <v>-3518</v>
      </c>
      <c r="G19" s="32">
        <v>-3684</v>
      </c>
      <c r="H19" s="32">
        <v>-3828</v>
      </c>
      <c r="I19" s="32">
        <v>-3969</v>
      </c>
      <c r="J19" s="32">
        <v>-4172</v>
      </c>
      <c r="K19" s="32">
        <v>-4345</v>
      </c>
      <c r="L19" s="32">
        <v>-4506</v>
      </c>
      <c r="M19" s="111">
        <f t="shared" si="0"/>
        <v>-13786</v>
      </c>
      <c r="N19" s="109">
        <f t="shared" si="1"/>
        <v>-34606</v>
      </c>
      <c r="O19" s="81"/>
    </row>
    <row r="20" spans="1:15" x14ac:dyDescent="0.35">
      <c r="A20">
        <v>71119</v>
      </c>
      <c r="B20" s="121" t="s">
        <v>352</v>
      </c>
      <c r="C20" s="30">
        <v>0</v>
      </c>
      <c r="D20" s="30">
        <v>180</v>
      </c>
      <c r="E20" s="30">
        <v>-12960</v>
      </c>
      <c r="F20" s="30">
        <v>-18960</v>
      </c>
      <c r="G20" s="30">
        <v>-39810</v>
      </c>
      <c r="H20" s="30">
        <v>-46280</v>
      </c>
      <c r="I20" s="30">
        <v>-48440</v>
      </c>
      <c r="J20" s="30">
        <v>-50690</v>
      </c>
      <c r="K20" s="30">
        <v>-53100</v>
      </c>
      <c r="L20" s="30">
        <v>-55550</v>
      </c>
      <c r="M20" s="111">
        <f t="shared" si="0"/>
        <v>-71550</v>
      </c>
      <c r="N20" s="109">
        <f t="shared" si="1"/>
        <v>-325610</v>
      </c>
      <c r="O20" s="81"/>
    </row>
    <row r="21" spans="1:15" x14ac:dyDescent="0.35">
      <c r="A21">
        <v>71120</v>
      </c>
      <c r="B21" s="121" t="s">
        <v>353</v>
      </c>
      <c r="C21" s="30">
        <v>0</v>
      </c>
      <c r="D21" s="30">
        <v>1</v>
      </c>
      <c r="E21" s="30">
        <v>6</v>
      </c>
      <c r="F21" s="32">
        <v>4</v>
      </c>
      <c r="G21" s="32">
        <v>-1100</v>
      </c>
      <c r="H21" s="32">
        <v>-1152</v>
      </c>
      <c r="I21" s="32">
        <v>-1209</v>
      </c>
      <c r="J21" s="32">
        <v>-1268</v>
      </c>
      <c r="K21" s="32">
        <v>-1331</v>
      </c>
      <c r="L21" s="32">
        <v>-1395</v>
      </c>
      <c r="M21" s="111">
        <f t="shared" si="0"/>
        <v>-1089</v>
      </c>
      <c r="N21" s="109">
        <f t="shared" si="1"/>
        <v>-7444</v>
      </c>
      <c r="O21" s="81"/>
    </row>
    <row r="22" spans="1:15" x14ac:dyDescent="0.35">
      <c r="A22">
        <v>71121</v>
      </c>
      <c r="B22" t="s">
        <v>354</v>
      </c>
      <c r="C22" s="30">
        <v>0</v>
      </c>
      <c r="D22" s="30">
        <v>2</v>
      </c>
      <c r="E22" s="32">
        <v>27</v>
      </c>
      <c r="F22" s="32">
        <v>194</v>
      </c>
      <c r="G22" s="32">
        <v>533</v>
      </c>
      <c r="H22" s="32">
        <v>810</v>
      </c>
      <c r="I22" s="32">
        <v>1144</v>
      </c>
      <c r="J22" s="32">
        <v>1216</v>
      </c>
      <c r="K22" s="32">
        <v>1289</v>
      </c>
      <c r="L22" s="32">
        <v>1365</v>
      </c>
      <c r="M22" s="111">
        <f t="shared" si="0"/>
        <v>756</v>
      </c>
      <c r="N22" s="109">
        <f t="shared" si="1"/>
        <v>6580</v>
      </c>
      <c r="O22" s="81"/>
    </row>
    <row r="23" spans="1:15" x14ac:dyDescent="0.35">
      <c r="B23" s="135" t="s">
        <v>436</v>
      </c>
      <c r="C23" s="14">
        <f t="shared" ref="C23:N23" si="2">SUM(C3:C22)</f>
        <v>-45</v>
      </c>
      <c r="D23" s="14">
        <f t="shared" si="2"/>
        <v>-18549</v>
      </c>
      <c r="E23" s="14">
        <f t="shared" si="2"/>
        <v>-49965</v>
      </c>
      <c r="F23" s="14">
        <f t="shared" si="2"/>
        <v>-66999</v>
      </c>
      <c r="G23" s="14">
        <f t="shared" si="2"/>
        <v>-99932</v>
      </c>
      <c r="H23" s="14">
        <f t="shared" si="2"/>
        <v>-120278</v>
      </c>
      <c r="I23" s="14">
        <f t="shared" si="2"/>
        <v>-139006</v>
      </c>
      <c r="J23" s="14">
        <f t="shared" si="2"/>
        <v>-150722</v>
      </c>
      <c r="K23" s="14">
        <f t="shared" si="2"/>
        <v>-162612</v>
      </c>
      <c r="L23" s="14">
        <f t="shared" si="2"/>
        <v>-178387</v>
      </c>
      <c r="M23" s="14">
        <f t="shared" si="2"/>
        <v>-235490</v>
      </c>
      <c r="N23" s="14">
        <f t="shared" si="2"/>
        <v>-986495</v>
      </c>
    </row>
    <row r="24" spans="1:15" x14ac:dyDescent="0.35">
      <c r="B24" s="135" t="s">
        <v>437</v>
      </c>
      <c r="C24" s="119">
        <f t="shared" ref="C24:N24" si="3">C23/1000</f>
        <v>-4.4999999999999998E-2</v>
      </c>
      <c r="D24" s="119">
        <f t="shared" si="3"/>
        <v>-18.548999999999999</v>
      </c>
      <c r="E24" s="14">
        <f t="shared" si="3"/>
        <v>-49.965000000000003</v>
      </c>
      <c r="F24" s="14">
        <f t="shared" si="3"/>
        <v>-66.998999999999995</v>
      </c>
      <c r="G24" s="14">
        <f t="shared" si="3"/>
        <v>-99.932000000000002</v>
      </c>
      <c r="H24" s="14">
        <f t="shared" si="3"/>
        <v>-120.27800000000001</v>
      </c>
      <c r="I24" s="14">
        <f t="shared" si="3"/>
        <v>-139.006</v>
      </c>
      <c r="J24" s="14">
        <f t="shared" si="3"/>
        <v>-150.72200000000001</v>
      </c>
      <c r="K24" s="14">
        <f t="shared" si="3"/>
        <v>-162.61199999999999</v>
      </c>
      <c r="L24" s="14">
        <f t="shared" si="3"/>
        <v>-178.387</v>
      </c>
      <c r="M24" s="14">
        <f t="shared" si="3"/>
        <v>-235.49</v>
      </c>
      <c r="N24" s="14">
        <f t="shared" si="3"/>
        <v>-986.495</v>
      </c>
    </row>
    <row r="25" spans="1:15" x14ac:dyDescent="0.35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</row>
    <row r="26" spans="1:15" x14ac:dyDescent="0.35">
      <c r="B26" s="13"/>
      <c r="C26" s="14"/>
      <c r="D26" s="14"/>
      <c r="E26" s="15"/>
      <c r="F26" s="15"/>
      <c r="G26" s="15"/>
      <c r="H26" s="15"/>
      <c r="I26" s="15"/>
      <c r="J26" s="15"/>
      <c r="K26" s="15"/>
      <c r="L26" s="14"/>
      <c r="M26" s="15"/>
      <c r="N26" s="15"/>
    </row>
    <row r="27" spans="1:15" x14ac:dyDescent="0.35">
      <c r="B27" s="13"/>
      <c r="C27" s="14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5" x14ac:dyDescent="0.35"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5" x14ac:dyDescent="0.35">
      <c r="B29" s="13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</row>
    <row r="30" spans="1:15" x14ac:dyDescent="0.35">
      <c r="B30" s="13"/>
      <c r="C30" s="9"/>
      <c r="D30" s="9"/>
      <c r="E30" s="9"/>
      <c r="F30" s="9"/>
      <c r="G30" s="9"/>
      <c r="H30" s="9"/>
      <c r="I30" s="9"/>
      <c r="J30" s="9"/>
      <c r="K30" s="9"/>
      <c r="L30" s="9"/>
      <c r="M30" s="97"/>
      <c r="N30" s="97"/>
    </row>
    <row r="31" spans="1:15" x14ac:dyDescent="0.35">
      <c r="B31" s="13"/>
      <c r="C31" s="9"/>
      <c r="D31" s="9"/>
      <c r="E31" s="9"/>
      <c r="F31" s="9"/>
      <c r="G31" s="9"/>
      <c r="H31" s="9"/>
      <c r="I31" s="9"/>
      <c r="J31" s="9"/>
      <c r="K31" s="9"/>
      <c r="L31" s="9"/>
      <c r="M31" s="97"/>
      <c r="N31" s="97"/>
    </row>
    <row r="32" spans="1:15" x14ac:dyDescent="0.35">
      <c r="B32" s="13"/>
      <c r="C32" s="9"/>
      <c r="D32" s="9"/>
      <c r="E32" s="9"/>
      <c r="F32" s="9"/>
      <c r="G32" s="9"/>
      <c r="H32" s="9"/>
      <c r="I32" s="9"/>
      <c r="J32" s="9"/>
      <c r="K32" s="9"/>
      <c r="L32" s="9"/>
      <c r="M32" s="97"/>
      <c r="N32" s="97"/>
    </row>
    <row r="33" spans="2:15" x14ac:dyDescent="0.35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5"/>
      <c r="M33" s="15"/>
      <c r="N33" s="15"/>
    </row>
    <row r="34" spans="2:15" x14ac:dyDescent="0.35">
      <c r="B34" s="13"/>
      <c r="C34" s="14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2:15" x14ac:dyDescent="0.35">
      <c r="B35" s="13"/>
      <c r="C35" s="9"/>
      <c r="D35" s="9"/>
      <c r="E35" s="9"/>
      <c r="F35" s="9"/>
      <c r="G35" s="9"/>
      <c r="H35" s="9"/>
      <c r="I35" s="9"/>
      <c r="J35" s="9"/>
      <c r="K35" s="9"/>
      <c r="L35" s="9"/>
      <c r="M35" s="97"/>
      <c r="N35" s="97"/>
    </row>
    <row r="36" spans="2:15" x14ac:dyDescent="0.35">
      <c r="B36" s="13"/>
      <c r="C36" s="9"/>
      <c r="D36" s="9"/>
      <c r="E36" s="9"/>
      <c r="F36" s="9"/>
      <c r="G36" s="9"/>
      <c r="H36" s="9"/>
      <c r="I36" s="9"/>
      <c r="J36" s="9"/>
      <c r="K36" s="9"/>
      <c r="L36" s="9"/>
      <c r="M36" s="97"/>
      <c r="N36" s="97"/>
    </row>
    <row r="37" spans="2:15" x14ac:dyDescent="0.35">
      <c r="B37" s="13"/>
      <c r="C37" s="14"/>
      <c r="D37" s="15"/>
      <c r="E37" s="15"/>
      <c r="F37" s="15"/>
      <c r="G37" s="15"/>
      <c r="H37" s="14"/>
      <c r="I37" s="15"/>
      <c r="J37" s="15"/>
      <c r="K37" s="14"/>
      <c r="L37" s="14"/>
      <c r="M37" s="15"/>
      <c r="N37" s="15"/>
    </row>
    <row r="38" spans="2:15" x14ac:dyDescent="0.35"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5"/>
    </row>
    <row r="39" spans="2:15" x14ac:dyDescent="0.35">
      <c r="B39" s="13"/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2:15" x14ac:dyDescent="0.35">
      <c r="B40" s="13"/>
      <c r="C40" s="14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2:15" x14ac:dyDescent="0.35"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/>
      <c r="N41" s="15"/>
    </row>
    <row r="42" spans="2:15" x14ac:dyDescent="0.35">
      <c r="B42" s="13"/>
      <c r="C42" s="1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2:15" x14ac:dyDescent="0.35">
      <c r="B43" s="13"/>
      <c r="C43" s="14"/>
      <c r="D43" s="15"/>
      <c r="E43" s="15"/>
      <c r="F43" s="15"/>
      <c r="G43" s="15"/>
      <c r="H43" s="14"/>
      <c r="I43" s="14"/>
      <c r="J43" s="14"/>
      <c r="K43" s="14"/>
      <c r="L43" s="14"/>
      <c r="M43" s="15"/>
      <c r="N43" s="15"/>
    </row>
    <row r="44" spans="2:15" x14ac:dyDescent="0.35">
      <c r="B44" s="13"/>
      <c r="C44" s="14"/>
      <c r="D44" s="14"/>
      <c r="E44" s="15"/>
      <c r="F44" s="15"/>
      <c r="G44" s="14"/>
      <c r="H44" s="14"/>
      <c r="I44" s="14"/>
      <c r="J44" s="14"/>
      <c r="K44" s="14"/>
      <c r="L44" s="14"/>
      <c r="M44" s="15"/>
      <c r="N44" s="15"/>
    </row>
    <row r="45" spans="2:15" x14ac:dyDescent="0.35"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5"/>
    </row>
    <row r="46" spans="2:15" x14ac:dyDescent="0.35">
      <c r="B46" s="13"/>
      <c r="C46" s="14"/>
      <c r="D46" s="14"/>
      <c r="E46" s="14"/>
      <c r="F46" s="15"/>
      <c r="G46" s="15"/>
      <c r="H46" s="15"/>
      <c r="I46" s="15"/>
      <c r="J46" s="15"/>
      <c r="K46" s="15"/>
      <c r="L46" s="15"/>
      <c r="M46" s="15"/>
      <c r="N46" s="15"/>
    </row>
    <row r="47" spans="2:15" x14ac:dyDescent="0.35">
      <c r="B47" s="13"/>
      <c r="C47" s="14"/>
      <c r="D47" s="14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2:15" x14ac:dyDescent="0.35">
      <c r="B48" s="13"/>
      <c r="C48" s="14"/>
      <c r="D48" s="14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2:14" x14ac:dyDescent="0.35"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2:14" x14ac:dyDescent="0.35">
      <c r="B50" s="9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5"/>
      <c r="N50" s="15"/>
    </row>
    <row r="51" spans="2:14" x14ac:dyDescent="0.35">
      <c r="B51" s="13"/>
      <c r="C51" s="14"/>
      <c r="D51" s="14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2:14" x14ac:dyDescent="0.35">
      <c r="B52" s="13"/>
      <c r="C52" s="14"/>
      <c r="D52" s="15"/>
      <c r="E52" s="15"/>
      <c r="F52" s="15"/>
      <c r="G52" s="15"/>
      <c r="H52" s="15"/>
      <c r="I52" s="15"/>
      <c r="J52" s="14"/>
      <c r="K52" s="15"/>
      <c r="L52" s="15"/>
      <c r="M52" s="15"/>
      <c r="N52" s="15"/>
    </row>
    <row r="53" spans="2:14" x14ac:dyDescent="0.35">
      <c r="B53" s="13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</row>
    <row r="54" spans="2:14" x14ac:dyDescent="0.35">
      <c r="B54" s="13"/>
      <c r="C54" s="14"/>
      <c r="D54" s="15"/>
      <c r="E54" s="15"/>
      <c r="F54" s="15"/>
      <c r="G54" s="15"/>
      <c r="H54" s="15"/>
      <c r="I54" s="15"/>
      <c r="J54" s="15"/>
      <c r="K54" s="15"/>
      <c r="L54" s="14"/>
      <c r="M54" s="15"/>
      <c r="N54" s="15"/>
    </row>
    <row r="55" spans="2:14" x14ac:dyDescent="0.35"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2:14" x14ac:dyDescent="0.35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5"/>
      <c r="N56" s="15"/>
    </row>
    <row r="57" spans="2:14" x14ac:dyDescent="0.35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2:14" x14ac:dyDescent="0.35"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5"/>
      <c r="M58" s="14"/>
      <c r="N58" s="15"/>
    </row>
    <row r="59" spans="2:14" x14ac:dyDescent="0.35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5"/>
      <c r="M59" s="14"/>
      <c r="N59" s="15"/>
    </row>
    <row r="60" spans="2:14" x14ac:dyDescent="0.35">
      <c r="B60" s="13"/>
      <c r="C60" s="14"/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2:14" x14ac:dyDescent="0.35">
      <c r="B61" s="13"/>
      <c r="C61" s="14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2:14" x14ac:dyDescent="0.35">
      <c r="B62" s="95"/>
      <c r="C62" s="14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2:14" x14ac:dyDescent="0.35">
      <c r="B63" s="95"/>
      <c r="C63" s="17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2:14" x14ac:dyDescent="0.35">
      <c r="B64" s="95"/>
      <c r="C64" s="17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2:14" x14ac:dyDescent="0.35"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/>
      <c r="N65" s="15"/>
    </row>
    <row r="66" spans="2:14" x14ac:dyDescent="0.35">
      <c r="B66" s="13"/>
      <c r="C66" s="14"/>
      <c r="D66" s="14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2:14" x14ac:dyDescent="0.35"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</row>
    <row r="71" spans="2:14" x14ac:dyDescent="0.35">
      <c r="C71" s="9"/>
      <c r="D71" s="52"/>
      <c r="E71" s="52"/>
      <c r="F71" s="52"/>
      <c r="G71" s="52"/>
      <c r="H71" s="52"/>
      <c r="I71" s="52"/>
      <c r="J71" s="52"/>
      <c r="K71" s="52"/>
      <c r="L71" s="52"/>
      <c r="M71" s="105"/>
      <c r="N71" s="105"/>
    </row>
    <row r="72" spans="2:14" x14ac:dyDescent="0.35">
      <c r="C72" s="9"/>
      <c r="D72" s="52"/>
      <c r="E72" s="52"/>
      <c r="F72" s="52"/>
      <c r="G72" s="52"/>
      <c r="H72" s="52"/>
      <c r="I72" s="52"/>
      <c r="J72" s="52"/>
      <c r="K72" s="52"/>
      <c r="L72" s="52"/>
      <c r="M72" s="105"/>
      <c r="N72" s="105"/>
    </row>
    <row r="73" spans="2:14" x14ac:dyDescent="0.35">
      <c r="C73" s="9"/>
      <c r="D73" s="52"/>
      <c r="E73" s="52"/>
      <c r="F73" s="52"/>
      <c r="G73" s="52"/>
      <c r="H73" s="52"/>
      <c r="I73" s="52"/>
      <c r="J73" s="52"/>
      <c r="K73" s="52"/>
      <c r="L73" s="52"/>
      <c r="M73" s="105"/>
      <c r="N73" s="105"/>
    </row>
    <row r="74" spans="2:14" x14ac:dyDescent="0.35">
      <c r="C74" s="9"/>
      <c r="D74" s="52"/>
      <c r="E74" s="52"/>
      <c r="F74" s="52"/>
      <c r="G74" s="52"/>
      <c r="H74" s="52"/>
      <c r="I74" s="52"/>
      <c r="J74" s="52"/>
      <c r="K74" s="52"/>
      <c r="L74" s="52"/>
      <c r="M74" s="105"/>
      <c r="N74" s="105"/>
    </row>
    <row r="75" spans="2:14" x14ac:dyDescent="0.35">
      <c r="C75" s="9"/>
      <c r="D75" s="52"/>
      <c r="E75" s="52"/>
      <c r="F75" s="52"/>
      <c r="G75" s="52"/>
      <c r="H75" s="52"/>
      <c r="I75" s="52"/>
      <c r="J75" s="52"/>
      <c r="K75" s="52"/>
      <c r="L75" s="52"/>
      <c r="M75" s="105"/>
      <c r="N75" s="105"/>
    </row>
    <row r="76" spans="2:14" x14ac:dyDescent="0.35">
      <c r="C76" s="9"/>
      <c r="D76" s="9"/>
      <c r="E76" s="9"/>
      <c r="F76" s="9"/>
      <c r="G76" s="9"/>
      <c r="H76" s="9"/>
      <c r="I76" s="9"/>
      <c r="J76" s="9"/>
      <c r="K76" s="9"/>
      <c r="L76" s="9"/>
      <c r="M76" s="97"/>
      <c r="N76" s="97"/>
    </row>
    <row r="77" spans="2:14" x14ac:dyDescent="0.35">
      <c r="C77" s="9"/>
      <c r="D77" s="9"/>
      <c r="E77" s="9"/>
      <c r="F77" s="9"/>
      <c r="G77" s="9"/>
      <c r="H77" s="9"/>
      <c r="I77" s="9"/>
      <c r="J77" s="9"/>
      <c r="K77" s="9"/>
      <c r="L77" s="9"/>
      <c r="M77" s="97"/>
      <c r="N77" s="97"/>
    </row>
    <row r="78" spans="2:14" x14ac:dyDescent="0.35"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97"/>
      <c r="N78" s="97"/>
    </row>
    <row r="79" spans="2:14" x14ac:dyDescent="0.35">
      <c r="C79" s="9"/>
      <c r="D79" s="9"/>
      <c r="E79" s="9"/>
      <c r="F79" s="9"/>
      <c r="G79" s="9"/>
      <c r="H79" s="9"/>
      <c r="I79" s="9"/>
      <c r="J79" s="9"/>
      <c r="K79" s="9"/>
      <c r="L79" s="9"/>
      <c r="M79" s="97"/>
      <c r="N79" s="97"/>
    </row>
    <row r="80" spans="2:14" x14ac:dyDescent="0.35">
      <c r="C80" s="9"/>
      <c r="D80" s="9"/>
      <c r="E80" s="9"/>
      <c r="F80" s="9"/>
      <c r="G80" s="9"/>
      <c r="H80" s="9"/>
      <c r="I80" s="9"/>
      <c r="J80" s="9"/>
      <c r="K80" s="9"/>
      <c r="L80" s="9"/>
      <c r="M80" s="97"/>
      <c r="N80" s="97"/>
    </row>
    <row r="81" spans="1:14" x14ac:dyDescent="0.35">
      <c r="C81" s="9"/>
      <c r="D81" s="9"/>
      <c r="E81" s="9"/>
      <c r="F81" s="9"/>
      <c r="G81" s="9"/>
      <c r="H81" s="9"/>
      <c r="I81" s="9"/>
      <c r="J81" s="9"/>
      <c r="K81" s="9"/>
      <c r="L81" s="9"/>
      <c r="M81" s="97"/>
      <c r="N81" s="97"/>
    </row>
    <row r="82" spans="1:14" x14ac:dyDescent="0.35"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105"/>
      <c r="N82" s="105"/>
    </row>
    <row r="83" spans="1:14" x14ac:dyDescent="0.35">
      <c r="C83" s="9"/>
      <c r="D83" s="9"/>
      <c r="E83" s="9"/>
      <c r="F83" s="9"/>
      <c r="G83" s="9"/>
      <c r="H83" s="9"/>
      <c r="I83" s="9"/>
      <c r="J83" s="9"/>
      <c r="K83" s="9"/>
      <c r="L83" s="9"/>
      <c r="M83" s="97"/>
      <c r="N83" s="97"/>
    </row>
    <row r="84" spans="1:14" x14ac:dyDescent="0.35">
      <c r="C84" s="9"/>
      <c r="D84" s="9"/>
      <c r="E84" s="9"/>
      <c r="F84" s="9"/>
      <c r="G84" s="9"/>
      <c r="H84" s="9"/>
      <c r="I84" s="9"/>
      <c r="J84" s="9"/>
      <c r="K84" s="9"/>
      <c r="L84" s="9"/>
      <c r="M84" s="97"/>
      <c r="N84" s="97"/>
    </row>
    <row r="85" spans="1:14" x14ac:dyDescent="0.35">
      <c r="C85" s="9"/>
      <c r="D85" s="9"/>
      <c r="E85" s="9"/>
      <c r="F85" s="9"/>
      <c r="G85" s="9"/>
      <c r="H85" s="9"/>
      <c r="I85" s="9"/>
      <c r="J85" s="9"/>
      <c r="K85" s="9"/>
      <c r="L85" s="9"/>
      <c r="M85" s="97"/>
      <c r="N85" s="97"/>
    </row>
    <row r="86" spans="1:14" x14ac:dyDescent="0.35">
      <c r="C86" s="9"/>
      <c r="D86" s="9"/>
      <c r="E86" s="9"/>
      <c r="F86" s="9"/>
      <c r="G86" s="9"/>
      <c r="H86" s="9"/>
      <c r="I86" s="9"/>
      <c r="J86" s="9"/>
      <c r="K86" s="9"/>
      <c r="L86" s="9"/>
      <c r="M86" s="97"/>
      <c r="N86" s="97"/>
    </row>
    <row r="87" spans="1:14" x14ac:dyDescent="0.35">
      <c r="C87" s="9"/>
      <c r="D87" s="9"/>
      <c r="E87" s="9"/>
      <c r="F87" s="9"/>
      <c r="G87" s="9"/>
      <c r="H87" s="9"/>
      <c r="I87" s="9"/>
      <c r="J87" s="9"/>
      <c r="K87" s="9"/>
      <c r="L87" s="9"/>
      <c r="M87" s="97"/>
      <c r="N87" s="97"/>
    </row>
    <row r="88" spans="1:14" x14ac:dyDescent="0.35">
      <c r="C88" s="9"/>
      <c r="D88" s="9"/>
      <c r="E88" s="9"/>
      <c r="F88" s="9"/>
      <c r="G88" s="9"/>
      <c r="H88" s="9"/>
      <c r="I88" s="9"/>
      <c r="J88" s="9"/>
      <c r="K88" s="9"/>
      <c r="L88" s="9"/>
      <c r="M88" s="97"/>
      <c r="N88" s="97"/>
    </row>
    <row r="89" spans="1:14" x14ac:dyDescent="0.35">
      <c r="A89" s="13"/>
      <c r="B89" s="13"/>
      <c r="C89" s="9"/>
      <c r="D89" s="52"/>
      <c r="E89" s="52"/>
      <c r="F89" s="52"/>
      <c r="G89" s="52"/>
      <c r="H89" s="52"/>
      <c r="I89" s="52"/>
      <c r="J89" s="52"/>
      <c r="K89" s="52"/>
      <c r="L89" s="52"/>
      <c r="M89" s="106"/>
      <c r="N89" s="106"/>
    </row>
    <row r="90" spans="1:14" x14ac:dyDescent="0.35">
      <c r="C90" s="9"/>
      <c r="D90" s="9"/>
      <c r="E90" s="9"/>
      <c r="F90" s="9"/>
      <c r="G90" s="9"/>
      <c r="H90" s="9"/>
      <c r="I90" s="9"/>
      <c r="J90" s="9"/>
      <c r="K90" s="9"/>
      <c r="L90" s="9"/>
      <c r="M90" s="98"/>
      <c r="N90" s="98"/>
    </row>
    <row r="91" spans="1:14" x14ac:dyDescent="0.35">
      <c r="C91" s="9"/>
      <c r="D91" s="9"/>
      <c r="E91" s="9"/>
      <c r="F91" s="9"/>
      <c r="G91" s="9"/>
      <c r="H91" s="9"/>
      <c r="I91" s="9"/>
      <c r="J91" s="9"/>
      <c r="K91" s="9"/>
      <c r="L91" s="9"/>
      <c r="M91" s="97"/>
      <c r="N91" s="97"/>
    </row>
    <row r="95" spans="1:14" ht="15" customHeight="1" x14ac:dyDescent="0.35"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</row>
    <row r="96" spans="1:14" x14ac:dyDescent="0.35">
      <c r="B96" s="13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</row>
    <row r="97" spans="1:14" x14ac:dyDescent="0.35">
      <c r="B97" s="13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</row>
    <row r="98" spans="1:14" x14ac:dyDescent="0.35">
      <c r="B98" s="13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</row>
    <row r="99" spans="1:14" x14ac:dyDescent="0.35">
      <c r="B99" s="13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</row>
    <row r="100" spans="1:14" x14ac:dyDescent="0.35">
      <c r="A100" s="17"/>
      <c r="B100" s="13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</row>
    <row r="101" spans="1:14" x14ac:dyDescent="0.35">
      <c r="B101" s="13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</row>
  </sheetData>
  <mergeCells count="2">
    <mergeCell ref="C1:N1"/>
    <mergeCell ref="C95:N9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2E54-2F4C-4BF1-8180-07DEA9F080D8}">
  <dimension ref="A1:O6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17" sqref="G17"/>
    </sheetView>
  </sheetViews>
  <sheetFormatPr defaultRowHeight="14.5" x14ac:dyDescent="0.35"/>
  <cols>
    <col min="1" max="1" width="13" bestFit="1" customWidth="1"/>
    <col min="2" max="2" width="11.1796875" customWidth="1"/>
    <col min="3" max="3" width="26.7265625" customWidth="1"/>
  </cols>
  <sheetData>
    <row r="1" spans="1:15" ht="26" x14ac:dyDescent="0.35">
      <c r="A1" s="123"/>
      <c r="B1" s="124"/>
      <c r="C1" s="125"/>
      <c r="D1" s="57">
        <v>2025</v>
      </c>
      <c r="E1" s="57">
        <v>2026</v>
      </c>
      <c r="F1" s="57">
        <v>2027</v>
      </c>
      <c r="G1" s="57">
        <v>2028</v>
      </c>
      <c r="H1" s="57">
        <v>2029</v>
      </c>
      <c r="I1" s="57">
        <v>2030</v>
      </c>
      <c r="J1" s="57">
        <v>2031</v>
      </c>
      <c r="K1" s="57">
        <v>2032</v>
      </c>
      <c r="L1" s="57">
        <v>2033</v>
      </c>
      <c r="M1" s="57">
        <v>2034</v>
      </c>
      <c r="N1" s="58" t="s">
        <v>158</v>
      </c>
      <c r="O1" s="58" t="s">
        <v>159</v>
      </c>
    </row>
    <row r="2" spans="1:15" ht="5.25" customHeight="1" x14ac:dyDescent="0.35">
      <c r="A2" s="123"/>
      <c r="B2" s="124"/>
      <c r="C2" s="125"/>
      <c r="D2" s="83"/>
      <c r="E2" s="83"/>
      <c r="F2" s="83"/>
      <c r="G2" s="83"/>
      <c r="H2" s="83"/>
      <c r="I2" s="83"/>
      <c r="J2" s="83"/>
      <c r="K2" s="83"/>
      <c r="L2" s="83"/>
      <c r="M2" s="83"/>
      <c r="N2" s="126"/>
      <c r="O2" s="126"/>
    </row>
    <row r="3" spans="1:15" ht="15.75" customHeight="1" x14ac:dyDescent="0.35">
      <c r="A3" s="123"/>
      <c r="B3" s="124"/>
      <c r="C3" s="125"/>
      <c r="D3" s="117" t="s">
        <v>365</v>
      </c>
      <c r="E3" s="117"/>
      <c r="F3" s="117"/>
      <c r="G3" s="117"/>
      <c r="H3" s="117"/>
      <c r="I3" s="117"/>
      <c r="J3" s="117"/>
      <c r="K3" s="117"/>
      <c r="L3" s="117"/>
      <c r="M3" s="117"/>
      <c r="N3" s="126"/>
      <c r="O3" s="126"/>
    </row>
    <row r="4" spans="1:15" ht="5.25" customHeight="1" x14ac:dyDescent="0.35">
      <c r="A4" s="123"/>
      <c r="B4" s="124"/>
      <c r="C4" s="125"/>
      <c r="D4" s="83"/>
      <c r="E4" s="83"/>
      <c r="F4" s="83"/>
      <c r="G4" s="83"/>
      <c r="H4" s="83"/>
      <c r="I4" s="83"/>
      <c r="J4" s="83"/>
      <c r="K4" s="83"/>
      <c r="L4" s="83"/>
      <c r="M4" s="83"/>
      <c r="N4" s="126"/>
      <c r="O4" s="126"/>
    </row>
    <row r="5" spans="1:15" x14ac:dyDescent="0.35">
      <c r="A5" s="123" t="s">
        <v>366</v>
      </c>
      <c r="B5" s="123">
        <v>20001</v>
      </c>
      <c r="C5" s="123" t="s">
        <v>367</v>
      </c>
      <c r="D5" s="9">
        <v>0</v>
      </c>
      <c r="E5" s="127">
        <v>0</v>
      </c>
      <c r="F5" s="127">
        <v>0</v>
      </c>
      <c r="G5" s="127">
        <v>-167</v>
      </c>
      <c r="H5" s="127">
        <v>-163</v>
      </c>
      <c r="I5" s="127">
        <v>-148</v>
      </c>
      <c r="J5" s="127">
        <v>-133</v>
      </c>
      <c r="K5" s="127">
        <v>-118</v>
      </c>
      <c r="L5" s="127">
        <v>-74</v>
      </c>
      <c r="M5" s="127">
        <v>0</v>
      </c>
      <c r="N5" s="82">
        <v>7411</v>
      </c>
      <c r="O5" s="82">
        <v>8301</v>
      </c>
    </row>
    <row r="6" spans="1:15" x14ac:dyDescent="0.35">
      <c r="A6" s="123"/>
      <c r="B6" s="128">
        <v>20002</v>
      </c>
      <c r="C6" t="s">
        <v>368</v>
      </c>
      <c r="D6" s="127">
        <v>155</v>
      </c>
      <c r="E6" s="127">
        <v>3726</v>
      </c>
      <c r="F6" s="127">
        <v>6219</v>
      </c>
      <c r="G6" s="127">
        <v>5198</v>
      </c>
      <c r="H6" s="127">
        <v>4508</v>
      </c>
      <c r="I6" s="127">
        <v>3045</v>
      </c>
      <c r="J6" s="127">
        <v>1864</v>
      </c>
      <c r="K6" s="127">
        <v>1373</v>
      </c>
      <c r="L6" s="127">
        <v>911</v>
      </c>
      <c r="M6" s="127">
        <v>552</v>
      </c>
      <c r="N6" s="82">
        <v>19806</v>
      </c>
      <c r="O6" s="82">
        <v>27551</v>
      </c>
    </row>
    <row r="7" spans="1:15" x14ac:dyDescent="0.35">
      <c r="A7" s="123"/>
      <c r="B7" s="128">
        <v>20003</v>
      </c>
      <c r="C7" s="123" t="s">
        <v>369</v>
      </c>
      <c r="D7" s="127">
        <v>212</v>
      </c>
      <c r="E7" s="127">
        <v>5226</v>
      </c>
      <c r="F7" s="127">
        <v>8284</v>
      </c>
      <c r="G7" s="127">
        <v>4123</v>
      </c>
      <c r="H7" s="127">
        <v>3073</v>
      </c>
      <c r="I7" s="127">
        <v>1370</v>
      </c>
      <c r="J7" s="127">
        <v>589</v>
      </c>
      <c r="K7" s="127">
        <v>211</v>
      </c>
      <c r="L7" s="127">
        <v>89</v>
      </c>
      <c r="M7" s="127">
        <v>19</v>
      </c>
      <c r="N7" s="82">
        <v>20918</v>
      </c>
      <c r="O7" s="82">
        <v>23196</v>
      </c>
    </row>
    <row r="8" spans="1:15" x14ac:dyDescent="0.35">
      <c r="B8" s="128">
        <v>20004</v>
      </c>
      <c r="C8" s="123" t="s">
        <v>370</v>
      </c>
      <c r="D8" s="127">
        <v>138</v>
      </c>
      <c r="E8" s="127">
        <v>3537</v>
      </c>
      <c r="F8" s="127">
        <v>6221</v>
      </c>
      <c r="G8" s="127">
        <v>5668</v>
      </c>
      <c r="H8" s="127">
        <v>4171</v>
      </c>
      <c r="I8" s="127">
        <v>2438</v>
      </c>
      <c r="J8" s="127">
        <v>977</v>
      </c>
      <c r="K8" s="127">
        <v>578</v>
      </c>
      <c r="L8" s="127">
        <v>71</v>
      </c>
      <c r="M8" s="127">
        <v>0</v>
      </c>
      <c r="N8" s="82">
        <v>19735</v>
      </c>
      <c r="O8" s="82">
        <v>23799</v>
      </c>
    </row>
    <row r="9" spans="1:15" x14ac:dyDescent="0.35">
      <c r="B9" s="128">
        <v>20005</v>
      </c>
      <c r="C9" s="123" t="s">
        <v>371</v>
      </c>
      <c r="D9" s="127">
        <v>301</v>
      </c>
      <c r="E9" s="127">
        <v>7111</v>
      </c>
      <c r="F9" s="127">
        <v>6197</v>
      </c>
      <c r="G9" s="127">
        <v>1390</v>
      </c>
      <c r="H9" s="127">
        <v>290</v>
      </c>
      <c r="I9" s="127">
        <v>155</v>
      </c>
      <c r="J9" s="127">
        <v>13</v>
      </c>
      <c r="K9" s="127">
        <v>3</v>
      </c>
      <c r="L9" s="127">
        <v>2</v>
      </c>
      <c r="M9" s="127">
        <v>0</v>
      </c>
      <c r="N9" s="82">
        <v>15289</v>
      </c>
      <c r="O9" s="82">
        <v>15462</v>
      </c>
    </row>
    <row r="10" spans="1:15" x14ac:dyDescent="0.35">
      <c r="B10" s="128">
        <v>20006</v>
      </c>
      <c r="C10" s="123" t="s">
        <v>372</v>
      </c>
      <c r="D10" s="127">
        <v>10</v>
      </c>
      <c r="E10" s="127">
        <v>233</v>
      </c>
      <c r="F10" s="127">
        <v>109</v>
      </c>
      <c r="G10" s="127">
        <v>10</v>
      </c>
      <c r="H10" s="127">
        <v>1</v>
      </c>
      <c r="I10" s="127">
        <v>1</v>
      </c>
      <c r="J10" s="127">
        <v>0</v>
      </c>
      <c r="K10" s="127">
        <v>0</v>
      </c>
      <c r="L10" s="127">
        <v>0</v>
      </c>
      <c r="M10" s="127">
        <v>0</v>
      </c>
      <c r="N10" s="82">
        <v>363</v>
      </c>
      <c r="O10" s="82">
        <v>364</v>
      </c>
    </row>
    <row r="11" spans="1:15" x14ac:dyDescent="0.35">
      <c r="B11" s="128">
        <v>20007</v>
      </c>
      <c r="C11" s="123" t="s">
        <v>373</v>
      </c>
      <c r="D11" s="127">
        <v>68</v>
      </c>
      <c r="E11" s="127">
        <v>1699</v>
      </c>
      <c r="F11" s="127">
        <v>2336</v>
      </c>
      <c r="G11" s="127">
        <v>1864</v>
      </c>
      <c r="H11" s="127">
        <v>1244</v>
      </c>
      <c r="I11" s="127">
        <v>537</v>
      </c>
      <c r="J11" s="127">
        <v>256</v>
      </c>
      <c r="K11" s="127">
        <v>101</v>
      </c>
      <c r="L11" s="127">
        <v>68</v>
      </c>
      <c r="M11" s="127">
        <v>0</v>
      </c>
      <c r="N11" s="82">
        <v>7211</v>
      </c>
      <c r="O11" s="82">
        <v>8173</v>
      </c>
    </row>
    <row r="12" spans="1:15" x14ac:dyDescent="0.35">
      <c r="B12" s="129">
        <v>20008</v>
      </c>
      <c r="C12" s="123" t="s">
        <v>374</v>
      </c>
      <c r="D12" s="127">
        <v>210</v>
      </c>
      <c r="E12" s="127">
        <v>5081</v>
      </c>
      <c r="F12" s="127">
        <v>4464</v>
      </c>
      <c r="G12" s="127">
        <v>2388</v>
      </c>
      <c r="H12" s="127">
        <v>1139</v>
      </c>
      <c r="I12" s="127">
        <v>491</v>
      </c>
      <c r="J12" s="127">
        <v>245</v>
      </c>
      <c r="K12" s="127">
        <v>88</v>
      </c>
      <c r="L12" s="127">
        <v>55</v>
      </c>
      <c r="M12" s="127">
        <v>1</v>
      </c>
      <c r="N12" s="82">
        <v>13282</v>
      </c>
      <c r="O12" s="82">
        <v>14162</v>
      </c>
    </row>
    <row r="13" spans="1:15" x14ac:dyDescent="0.35">
      <c r="B13" s="128">
        <v>20009</v>
      </c>
      <c r="C13" s="123" t="s">
        <v>375</v>
      </c>
      <c r="D13" s="127">
        <v>192</v>
      </c>
      <c r="E13" s="127">
        <v>4594</v>
      </c>
      <c r="F13" s="127">
        <v>4073</v>
      </c>
      <c r="G13" s="127">
        <v>1583</v>
      </c>
      <c r="H13" s="127">
        <v>964</v>
      </c>
      <c r="I13" s="127">
        <v>400</v>
      </c>
      <c r="J13" s="127">
        <v>167</v>
      </c>
      <c r="K13" s="127">
        <v>69</v>
      </c>
      <c r="L13" s="127">
        <v>22</v>
      </c>
      <c r="M13" s="127">
        <v>6</v>
      </c>
      <c r="N13" s="82">
        <v>11406</v>
      </c>
      <c r="O13" s="82">
        <v>12070</v>
      </c>
    </row>
    <row r="14" spans="1:15" x14ac:dyDescent="0.35">
      <c r="B14" s="128">
        <v>20010</v>
      </c>
      <c r="C14" s="123" t="s">
        <v>376</v>
      </c>
      <c r="D14" s="127">
        <v>237</v>
      </c>
      <c r="E14" s="127">
        <v>5646</v>
      </c>
      <c r="F14" s="127">
        <v>4511</v>
      </c>
      <c r="G14" s="127">
        <v>2404</v>
      </c>
      <c r="H14" s="127">
        <v>1463</v>
      </c>
      <c r="I14" s="127">
        <v>634</v>
      </c>
      <c r="J14" s="127">
        <v>332</v>
      </c>
      <c r="K14" s="127">
        <v>180</v>
      </c>
      <c r="L14" s="127">
        <v>59</v>
      </c>
      <c r="M14" s="127">
        <v>15</v>
      </c>
      <c r="N14" s="82">
        <v>14261</v>
      </c>
      <c r="O14" s="82">
        <v>15481</v>
      </c>
    </row>
    <row r="15" spans="1:15" x14ac:dyDescent="0.35">
      <c r="B15" s="128">
        <v>20011</v>
      </c>
      <c r="C15" s="123" t="s">
        <v>377</v>
      </c>
      <c r="D15" s="127">
        <v>31</v>
      </c>
      <c r="E15" s="127">
        <v>714</v>
      </c>
      <c r="F15" s="127">
        <v>192</v>
      </c>
      <c r="G15" s="127">
        <v>23</v>
      </c>
      <c r="H15" s="127">
        <v>8</v>
      </c>
      <c r="I15" s="127">
        <v>4</v>
      </c>
      <c r="J15" s="127">
        <v>2</v>
      </c>
      <c r="K15" s="127">
        <v>0</v>
      </c>
      <c r="L15" s="127">
        <v>0</v>
      </c>
      <c r="M15" s="127">
        <v>0</v>
      </c>
      <c r="N15" s="82">
        <v>968</v>
      </c>
      <c r="O15" s="82">
        <v>974</v>
      </c>
    </row>
    <row r="16" spans="1:15" x14ac:dyDescent="0.35">
      <c r="B16" s="128">
        <v>20012</v>
      </c>
      <c r="C16" s="123" t="s">
        <v>378</v>
      </c>
      <c r="D16" s="127">
        <v>0</v>
      </c>
      <c r="E16" s="127">
        <v>2</v>
      </c>
      <c r="F16" s="127">
        <v>1</v>
      </c>
      <c r="G16" s="127">
        <v>3</v>
      </c>
      <c r="H16" s="127">
        <v>3</v>
      </c>
      <c r="I16" s="127">
        <v>0</v>
      </c>
      <c r="J16" s="127">
        <v>0</v>
      </c>
      <c r="K16" s="127">
        <v>0</v>
      </c>
      <c r="L16" s="127">
        <v>0</v>
      </c>
      <c r="M16" s="127">
        <v>0</v>
      </c>
      <c r="N16" s="82">
        <v>9</v>
      </c>
      <c r="O16" s="82">
        <v>9</v>
      </c>
    </row>
    <row r="17" spans="1:15" x14ac:dyDescent="0.35">
      <c r="A17" s="123" t="s">
        <v>379</v>
      </c>
      <c r="B17" s="128">
        <v>30001</v>
      </c>
      <c r="C17" s="123" t="s">
        <v>380</v>
      </c>
      <c r="D17" s="127">
        <v>0</v>
      </c>
      <c r="E17" s="127">
        <v>-123</v>
      </c>
      <c r="F17" s="127">
        <v>-193</v>
      </c>
      <c r="G17" s="127">
        <v>-189</v>
      </c>
      <c r="H17" s="127">
        <v>-193</v>
      </c>
      <c r="I17" s="127">
        <v>-210</v>
      </c>
      <c r="J17" s="127">
        <v>-231</v>
      </c>
      <c r="K17" s="127">
        <v>-262</v>
      </c>
      <c r="L17" s="127">
        <v>-296</v>
      </c>
      <c r="M17" s="127">
        <v>-323</v>
      </c>
      <c r="N17" s="82">
        <v>-698</v>
      </c>
      <c r="O17" s="82">
        <v>-2020</v>
      </c>
    </row>
    <row r="18" spans="1:15" x14ac:dyDescent="0.35">
      <c r="A18" s="123"/>
      <c r="B18" s="123">
        <v>30002</v>
      </c>
      <c r="C18" s="123" t="s">
        <v>381</v>
      </c>
      <c r="D18" s="127">
        <v>-16</v>
      </c>
      <c r="E18" s="127">
        <v>-21</v>
      </c>
      <c r="F18" s="127">
        <v>-27</v>
      </c>
      <c r="G18" s="127">
        <v>-34</v>
      </c>
      <c r="H18" s="127">
        <v>-27</v>
      </c>
      <c r="I18" s="127">
        <v>-10</v>
      </c>
      <c r="J18" s="127">
        <v>-3</v>
      </c>
      <c r="K18" s="127">
        <v>0</v>
      </c>
      <c r="L18" s="127">
        <v>0</v>
      </c>
      <c r="M18" s="127">
        <v>0</v>
      </c>
      <c r="N18" s="82"/>
      <c r="O18" s="82"/>
    </row>
    <row r="19" spans="1:15" x14ac:dyDescent="0.35">
      <c r="A19" s="123"/>
      <c r="B19" s="123">
        <v>30003</v>
      </c>
      <c r="C19" s="123" t="s">
        <v>382</v>
      </c>
      <c r="D19" s="127">
        <v>-1</v>
      </c>
      <c r="E19" s="127">
        <v>-44</v>
      </c>
      <c r="F19" s="127">
        <v>-50</v>
      </c>
      <c r="G19" s="127">
        <v>-50</v>
      </c>
      <c r="H19" s="127">
        <v>-50</v>
      </c>
      <c r="I19" s="127">
        <v>-50</v>
      </c>
      <c r="J19" s="127">
        <v>-50</v>
      </c>
      <c r="K19" s="127">
        <v>-51</v>
      </c>
      <c r="L19" s="127">
        <v>-51</v>
      </c>
      <c r="M19" s="127">
        <v>-51</v>
      </c>
      <c r="N19" s="82"/>
      <c r="O19" s="82"/>
    </row>
    <row r="20" spans="1:15" x14ac:dyDescent="0.35">
      <c r="B20" s="128">
        <v>30004</v>
      </c>
      <c r="C20" s="123" t="s">
        <v>383</v>
      </c>
      <c r="D20" s="9">
        <v>2</v>
      </c>
      <c r="E20" s="127">
        <v>56</v>
      </c>
      <c r="F20" s="127">
        <v>190</v>
      </c>
      <c r="G20" s="127">
        <v>248</v>
      </c>
      <c r="H20" s="127">
        <v>198</v>
      </c>
      <c r="I20" s="127">
        <v>148</v>
      </c>
      <c r="J20" s="127">
        <v>96</v>
      </c>
      <c r="K20" s="127">
        <v>0</v>
      </c>
      <c r="L20" s="127">
        <v>0</v>
      </c>
      <c r="M20" s="127">
        <v>0</v>
      </c>
      <c r="N20" s="82">
        <v>694</v>
      </c>
      <c r="O20" s="82">
        <v>938</v>
      </c>
    </row>
    <row r="21" spans="1:15" x14ac:dyDescent="0.35">
      <c r="A21" s="123" t="s">
        <v>384</v>
      </c>
      <c r="B21" s="128">
        <v>40001</v>
      </c>
      <c r="C21" s="123" t="s">
        <v>385</v>
      </c>
      <c r="D21" s="9" t="s">
        <v>181</v>
      </c>
      <c r="E21" s="9">
        <v>390</v>
      </c>
      <c r="F21" s="9">
        <v>1210</v>
      </c>
      <c r="G21" s="9">
        <v>2390</v>
      </c>
      <c r="H21" s="9">
        <v>3070</v>
      </c>
      <c r="I21" s="9">
        <v>3590</v>
      </c>
      <c r="J21" s="9">
        <v>3480</v>
      </c>
      <c r="K21" s="9">
        <v>3470</v>
      </c>
      <c r="L21" s="9">
        <v>3520</v>
      </c>
      <c r="M21" s="9">
        <v>2010</v>
      </c>
      <c r="N21" s="82">
        <v>7060</v>
      </c>
      <c r="O21" s="82">
        <v>23130</v>
      </c>
    </row>
    <row r="22" spans="1:15" x14ac:dyDescent="0.35">
      <c r="B22" s="123" t="s">
        <v>386</v>
      </c>
      <c r="C22" s="123" t="s">
        <v>89</v>
      </c>
      <c r="D22" s="9" t="s">
        <v>181</v>
      </c>
      <c r="E22" s="9">
        <v>4</v>
      </c>
      <c r="F22" s="9">
        <v>7</v>
      </c>
      <c r="G22" s="9">
        <v>7</v>
      </c>
      <c r="H22" s="9">
        <v>7</v>
      </c>
      <c r="I22" s="9">
        <v>7</v>
      </c>
      <c r="J22" s="9">
        <v>6</v>
      </c>
      <c r="K22" s="9">
        <v>6</v>
      </c>
      <c r="L22" s="9">
        <v>3</v>
      </c>
      <c r="M22" s="9">
        <v>3</v>
      </c>
      <c r="N22" s="82">
        <v>25</v>
      </c>
      <c r="O22" s="82">
        <v>50</v>
      </c>
    </row>
    <row r="23" spans="1:15" x14ac:dyDescent="0.35">
      <c r="B23" s="128">
        <v>40003</v>
      </c>
      <c r="C23" s="123" t="s">
        <v>387</v>
      </c>
      <c r="D23" s="9" t="s">
        <v>181</v>
      </c>
      <c r="E23" s="9">
        <v>750</v>
      </c>
      <c r="F23" s="9">
        <v>1620</v>
      </c>
      <c r="G23" s="9">
        <v>2670</v>
      </c>
      <c r="H23" s="9">
        <v>3190</v>
      </c>
      <c r="I23" s="9">
        <v>1980</v>
      </c>
      <c r="J23" s="9">
        <v>1220</v>
      </c>
      <c r="K23" s="9">
        <v>600</v>
      </c>
      <c r="L23" s="9">
        <v>0</v>
      </c>
      <c r="M23" s="9">
        <v>0</v>
      </c>
      <c r="N23" s="82">
        <v>8230</v>
      </c>
      <c r="O23" s="82">
        <v>12030</v>
      </c>
    </row>
    <row r="24" spans="1:15" x14ac:dyDescent="0.35">
      <c r="B24" s="128">
        <v>40005</v>
      </c>
      <c r="C24" s="123" t="s">
        <v>388</v>
      </c>
      <c r="D24" s="9" t="s">
        <v>181</v>
      </c>
      <c r="E24" s="127">
        <v>2000</v>
      </c>
      <c r="F24" s="127">
        <v>2480</v>
      </c>
      <c r="G24" s="127">
        <v>2270</v>
      </c>
      <c r="H24" s="127">
        <v>2080</v>
      </c>
      <c r="I24" s="127">
        <v>970</v>
      </c>
      <c r="J24" s="127">
        <v>150</v>
      </c>
      <c r="K24" s="127">
        <v>10</v>
      </c>
      <c r="L24" s="127">
        <v>0</v>
      </c>
      <c r="M24" s="127">
        <v>0</v>
      </c>
      <c r="N24" s="82">
        <v>8830</v>
      </c>
      <c r="O24" s="82">
        <v>9960</v>
      </c>
    </row>
    <row r="25" spans="1:15" x14ac:dyDescent="0.35">
      <c r="B25" s="123">
        <v>40006</v>
      </c>
      <c r="C25" s="123" t="s">
        <v>389</v>
      </c>
      <c r="D25" s="9">
        <v>0</v>
      </c>
      <c r="E25" s="127">
        <v>0</v>
      </c>
      <c r="F25" s="127">
        <v>-54</v>
      </c>
      <c r="G25" s="127">
        <v>-103</v>
      </c>
      <c r="H25" s="127">
        <v>-153</v>
      </c>
      <c r="I25" s="127">
        <v>-198</v>
      </c>
      <c r="J25" s="127">
        <v>-251</v>
      </c>
      <c r="K25" s="127">
        <v>-326</v>
      </c>
      <c r="L25" s="127">
        <v>-113</v>
      </c>
      <c r="M25" s="127">
        <v>0</v>
      </c>
      <c r="N25" s="82"/>
      <c r="O25" s="82"/>
    </row>
    <row r="26" spans="1:15" x14ac:dyDescent="0.35">
      <c r="B26" s="123">
        <v>40008</v>
      </c>
      <c r="C26" s="123" t="s">
        <v>390</v>
      </c>
      <c r="D26" s="9">
        <v>-64</v>
      </c>
      <c r="E26" s="127">
        <v>-52</v>
      </c>
      <c r="F26" s="127">
        <v>-44</v>
      </c>
      <c r="G26" s="127">
        <v>-21</v>
      </c>
      <c r="H26" s="127">
        <v>-12</v>
      </c>
      <c r="I26" s="127">
        <v>0</v>
      </c>
      <c r="J26" s="127">
        <v>0</v>
      </c>
      <c r="K26" s="127">
        <v>0</v>
      </c>
      <c r="L26" s="127">
        <v>0</v>
      </c>
      <c r="M26" s="127">
        <v>0</v>
      </c>
      <c r="N26" s="82"/>
      <c r="O26" s="82"/>
    </row>
    <row r="27" spans="1:15" x14ac:dyDescent="0.35">
      <c r="B27" s="123">
        <v>40009</v>
      </c>
      <c r="C27" s="123" t="s">
        <v>391</v>
      </c>
      <c r="D27" s="9">
        <v>0</v>
      </c>
      <c r="E27" s="127">
        <v>-20</v>
      </c>
      <c r="F27" s="127">
        <v>-50</v>
      </c>
      <c r="G27" s="127">
        <v>-55</v>
      </c>
      <c r="H27" s="127">
        <v>-25</v>
      </c>
      <c r="I27" s="127">
        <v>0</v>
      </c>
      <c r="J27" s="127">
        <v>0</v>
      </c>
      <c r="K27" s="127">
        <v>0</v>
      </c>
      <c r="L27" s="127">
        <v>0</v>
      </c>
      <c r="M27" s="127">
        <v>0</v>
      </c>
      <c r="N27" s="82"/>
      <c r="O27" s="82"/>
    </row>
    <row r="28" spans="1:15" x14ac:dyDescent="0.35">
      <c r="B28" s="123">
        <v>40010</v>
      </c>
      <c r="C28" s="123" t="s">
        <v>392</v>
      </c>
      <c r="D28" s="9">
        <v>-1</v>
      </c>
      <c r="E28" s="127">
        <v>-47</v>
      </c>
      <c r="F28" s="127">
        <v>-67</v>
      </c>
      <c r="G28" s="127">
        <v>-49</v>
      </c>
      <c r="H28" s="127">
        <v>-39</v>
      </c>
      <c r="I28" s="127">
        <v>-5</v>
      </c>
      <c r="J28" s="127">
        <v>0</v>
      </c>
      <c r="K28" s="127">
        <v>0</v>
      </c>
      <c r="L28" s="127">
        <v>0</v>
      </c>
      <c r="M28" s="127">
        <v>0</v>
      </c>
      <c r="N28" s="82"/>
      <c r="O28" s="82"/>
    </row>
    <row r="29" spans="1:15" x14ac:dyDescent="0.35">
      <c r="B29" s="123">
        <v>40011</v>
      </c>
      <c r="C29" s="123" t="s">
        <v>393</v>
      </c>
      <c r="D29" s="9">
        <v>0</v>
      </c>
      <c r="E29" s="127">
        <v>0</v>
      </c>
      <c r="F29" s="127">
        <v>0</v>
      </c>
      <c r="G29" s="127">
        <v>-167</v>
      </c>
      <c r="H29" s="127">
        <v>-163</v>
      </c>
      <c r="I29" s="127">
        <v>-148</v>
      </c>
      <c r="J29" s="127">
        <v>-133</v>
      </c>
      <c r="K29" s="127">
        <v>-118</v>
      </c>
      <c r="L29" s="127">
        <v>-74</v>
      </c>
      <c r="M29" s="127">
        <v>0</v>
      </c>
      <c r="N29" s="82"/>
      <c r="O29" s="82"/>
    </row>
    <row r="30" spans="1:15" x14ac:dyDescent="0.35">
      <c r="A30" s="123" t="s">
        <v>394</v>
      </c>
      <c r="B30" s="128">
        <v>50305</v>
      </c>
      <c r="C30" s="123" t="s">
        <v>395</v>
      </c>
      <c r="D30" s="130">
        <v>5</v>
      </c>
      <c r="E30" s="130">
        <v>120</v>
      </c>
      <c r="F30" s="130">
        <v>20</v>
      </c>
      <c r="G30" s="130">
        <v>5</v>
      </c>
      <c r="H30" s="130">
        <v>0</v>
      </c>
      <c r="I30" s="130">
        <v>0</v>
      </c>
      <c r="J30" s="130">
        <v>0</v>
      </c>
      <c r="K30" s="130">
        <v>0</v>
      </c>
      <c r="L30" s="130">
        <v>0</v>
      </c>
      <c r="M30" s="130">
        <v>0</v>
      </c>
      <c r="N30" s="131">
        <v>150</v>
      </c>
      <c r="O30" s="131">
        <v>150</v>
      </c>
    </row>
    <row r="31" spans="1:15" x14ac:dyDescent="0.35">
      <c r="A31" s="123"/>
      <c r="B31" s="128">
        <v>50304</v>
      </c>
      <c r="C31" s="123" t="s">
        <v>396</v>
      </c>
      <c r="D31" s="130">
        <v>-79</v>
      </c>
      <c r="E31" s="130">
        <v>-65</v>
      </c>
      <c r="F31" s="130">
        <v>-46</v>
      </c>
      <c r="G31" s="130">
        <v>-38</v>
      </c>
      <c r="H31" s="130">
        <v>-27</v>
      </c>
      <c r="I31" s="130">
        <v>-21</v>
      </c>
      <c r="J31" s="130">
        <v>-3</v>
      </c>
      <c r="K31" s="130">
        <v>0</v>
      </c>
      <c r="L31" s="130">
        <v>0</v>
      </c>
      <c r="M31" s="130">
        <v>0</v>
      </c>
      <c r="N31" s="131"/>
      <c r="O31" s="131"/>
    </row>
    <row r="32" spans="1:15" x14ac:dyDescent="0.35">
      <c r="B32" s="128">
        <v>50401</v>
      </c>
      <c r="C32" s="123" t="s">
        <v>397</v>
      </c>
      <c r="D32" s="132">
        <v>0</v>
      </c>
      <c r="E32" s="132">
        <v>396</v>
      </c>
      <c r="F32" s="132">
        <v>291</v>
      </c>
      <c r="G32" s="132">
        <v>65</v>
      </c>
      <c r="H32" s="132">
        <v>44</v>
      </c>
      <c r="I32" s="132">
        <v>33</v>
      </c>
      <c r="J32" s="132">
        <v>21</v>
      </c>
      <c r="K32" s="132">
        <v>0</v>
      </c>
      <c r="L32" s="132">
        <v>0</v>
      </c>
      <c r="M32" s="132">
        <v>0</v>
      </c>
      <c r="N32" s="131">
        <v>796</v>
      </c>
      <c r="O32" s="131">
        <v>850</v>
      </c>
    </row>
    <row r="33" spans="1:15" x14ac:dyDescent="0.35">
      <c r="B33" s="128">
        <v>50402</v>
      </c>
      <c r="C33" s="123" t="s">
        <v>398</v>
      </c>
      <c r="D33" s="132">
        <v>-89</v>
      </c>
      <c r="E33" s="132">
        <v>-489</v>
      </c>
      <c r="F33" s="132">
        <v>-1036</v>
      </c>
      <c r="G33" s="132">
        <v>-1302</v>
      </c>
      <c r="H33" s="132">
        <v>-1203</v>
      </c>
      <c r="I33" s="132">
        <v>-1151</v>
      </c>
      <c r="J33" s="132">
        <v>-899</v>
      </c>
      <c r="K33" s="132">
        <v>-332</v>
      </c>
      <c r="L33" s="132">
        <v>-291</v>
      </c>
      <c r="M33" s="132">
        <v>-290</v>
      </c>
      <c r="N33" s="131"/>
      <c r="O33" s="131"/>
    </row>
    <row r="34" spans="1:15" x14ac:dyDescent="0.35">
      <c r="B34" s="128">
        <v>50403</v>
      </c>
      <c r="C34" s="123" t="s">
        <v>399</v>
      </c>
      <c r="D34" s="9" t="s">
        <v>181</v>
      </c>
      <c r="E34" s="127">
        <v>10</v>
      </c>
      <c r="F34" s="127">
        <v>60</v>
      </c>
      <c r="G34" s="127">
        <v>130</v>
      </c>
      <c r="H34" s="127">
        <v>210</v>
      </c>
      <c r="I34" s="127">
        <v>200</v>
      </c>
      <c r="J34" s="127">
        <v>130</v>
      </c>
      <c r="K34" s="127">
        <v>60</v>
      </c>
      <c r="L34" s="127">
        <v>20</v>
      </c>
      <c r="M34" s="127">
        <v>0</v>
      </c>
      <c r="N34" s="131">
        <v>410</v>
      </c>
      <c r="O34" s="131">
        <v>820</v>
      </c>
    </row>
    <row r="35" spans="1:15" x14ac:dyDescent="0.35">
      <c r="B35" s="128">
        <v>50404</v>
      </c>
      <c r="C35" s="17" t="s">
        <v>400</v>
      </c>
      <c r="D35" s="9" t="s">
        <v>181</v>
      </c>
      <c r="E35" s="9">
        <v>81</v>
      </c>
      <c r="F35" s="9">
        <v>56</v>
      </c>
      <c r="G35" s="9">
        <v>7</v>
      </c>
      <c r="H35" s="9">
        <v>3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131">
        <v>147</v>
      </c>
      <c r="O35" s="131">
        <v>147</v>
      </c>
    </row>
    <row r="36" spans="1:15" x14ac:dyDescent="0.35">
      <c r="B36" s="128">
        <v>50501</v>
      </c>
      <c r="C36" s="123" t="s">
        <v>401</v>
      </c>
      <c r="D36" s="127">
        <v>7</v>
      </c>
      <c r="E36" s="127">
        <v>43</v>
      </c>
      <c r="F36" s="127">
        <v>202</v>
      </c>
      <c r="G36" s="127">
        <v>177</v>
      </c>
      <c r="H36" s="127">
        <v>202</v>
      </c>
      <c r="I36" s="127">
        <v>104</v>
      </c>
      <c r="J36" s="127">
        <v>105</v>
      </c>
      <c r="K36" s="127">
        <v>105</v>
      </c>
      <c r="L36" s="127">
        <v>55</v>
      </c>
      <c r="M36" s="127">
        <v>0</v>
      </c>
      <c r="N36" s="131">
        <v>631</v>
      </c>
      <c r="O36" s="131">
        <v>1000</v>
      </c>
    </row>
    <row r="37" spans="1:15" x14ac:dyDescent="0.35">
      <c r="A37" s="123" t="s">
        <v>402</v>
      </c>
      <c r="B37" s="128"/>
      <c r="C37" s="17" t="s">
        <v>403</v>
      </c>
      <c r="D37" s="133">
        <v>-857</v>
      </c>
      <c r="E37" s="130">
        <v>-936</v>
      </c>
      <c r="F37" s="130">
        <v>-1237</v>
      </c>
      <c r="G37" s="130">
        <v>-887</v>
      </c>
      <c r="H37" s="130">
        <v>-570</v>
      </c>
      <c r="I37" s="130">
        <v>-360</v>
      </c>
      <c r="J37" s="130">
        <v>-112</v>
      </c>
      <c r="K37" s="130" t="s">
        <v>181</v>
      </c>
      <c r="L37" s="130" t="s">
        <v>181</v>
      </c>
      <c r="M37" s="130" t="s">
        <v>181</v>
      </c>
      <c r="N37" s="82">
        <v>257</v>
      </c>
      <c r="O37" s="82">
        <v>257</v>
      </c>
    </row>
    <row r="38" spans="1:15" x14ac:dyDescent="0.35">
      <c r="A38" s="123" t="s">
        <v>404</v>
      </c>
      <c r="B38" s="128">
        <v>71121</v>
      </c>
      <c r="C38" s="17" t="s">
        <v>405</v>
      </c>
      <c r="D38" s="9">
        <v>0</v>
      </c>
      <c r="E38" s="9">
        <v>2</v>
      </c>
      <c r="F38" s="9">
        <v>27</v>
      </c>
      <c r="G38" s="9">
        <v>194</v>
      </c>
      <c r="H38" s="9">
        <v>533</v>
      </c>
      <c r="I38" s="9">
        <v>810</v>
      </c>
      <c r="J38" s="9">
        <v>1144</v>
      </c>
      <c r="K38" s="9">
        <v>1216</v>
      </c>
      <c r="L38" s="9">
        <v>1289</v>
      </c>
      <c r="M38" s="9">
        <v>1365</v>
      </c>
      <c r="N38" s="82">
        <v>756</v>
      </c>
      <c r="O38" s="82">
        <v>6580</v>
      </c>
    </row>
    <row r="39" spans="1:15" x14ac:dyDescent="0.35">
      <c r="A39" s="123"/>
      <c r="B39" s="128">
        <v>71401</v>
      </c>
      <c r="C39" s="123" t="s">
        <v>406</v>
      </c>
      <c r="D39" s="9">
        <v>0</v>
      </c>
      <c r="E39" s="9">
        <v>472</v>
      </c>
      <c r="F39" s="9">
        <v>4715</v>
      </c>
      <c r="G39" s="9">
        <v>7073</v>
      </c>
      <c r="H39" s="9">
        <v>8487</v>
      </c>
      <c r="I39" s="9">
        <v>9430</v>
      </c>
      <c r="J39" s="9">
        <v>8959</v>
      </c>
      <c r="K39" s="9">
        <v>4715</v>
      </c>
      <c r="L39" s="9">
        <v>2358</v>
      </c>
      <c r="M39" s="9">
        <v>943</v>
      </c>
      <c r="N39" s="55">
        <v>20747</v>
      </c>
      <c r="O39" s="55">
        <v>47152</v>
      </c>
    </row>
    <row r="40" spans="1:15" x14ac:dyDescent="0.35">
      <c r="A40" s="123" t="s">
        <v>407</v>
      </c>
      <c r="B40" s="128">
        <v>82005</v>
      </c>
      <c r="C40" s="123" t="s">
        <v>408</v>
      </c>
      <c r="D40" s="127">
        <v>50</v>
      </c>
      <c r="E40" s="127">
        <v>300</v>
      </c>
      <c r="F40" s="127">
        <v>450</v>
      </c>
      <c r="G40" s="127">
        <v>200</v>
      </c>
      <c r="H40" s="127">
        <v>0</v>
      </c>
      <c r="I40" s="127">
        <v>0</v>
      </c>
      <c r="J40" s="127">
        <v>0</v>
      </c>
      <c r="K40" s="127">
        <v>0</v>
      </c>
      <c r="L40" s="127">
        <v>0</v>
      </c>
      <c r="M40" s="127">
        <v>0</v>
      </c>
      <c r="N40" s="82">
        <v>1000</v>
      </c>
      <c r="O40" s="82">
        <v>1000</v>
      </c>
    </row>
    <row r="41" spans="1:15" x14ac:dyDescent="0.35">
      <c r="B41" s="128">
        <v>83003</v>
      </c>
      <c r="C41" s="123" t="s">
        <v>409</v>
      </c>
      <c r="D41" s="127">
        <v>0</v>
      </c>
      <c r="E41" s="127">
        <v>2730</v>
      </c>
      <c r="F41" s="127">
        <v>7665</v>
      </c>
      <c r="G41" s="127">
        <v>105</v>
      </c>
      <c r="H41" s="127">
        <v>0</v>
      </c>
      <c r="I41" s="127">
        <v>0</v>
      </c>
      <c r="J41" s="127">
        <v>0</v>
      </c>
      <c r="K41" s="127">
        <v>0</v>
      </c>
      <c r="L41" s="127">
        <v>0</v>
      </c>
      <c r="M41" s="127">
        <v>0</v>
      </c>
      <c r="N41" s="82">
        <v>10500</v>
      </c>
      <c r="O41" s="82">
        <v>10500</v>
      </c>
    </row>
    <row r="42" spans="1:15" x14ac:dyDescent="0.35">
      <c r="B42" s="128">
        <v>86001</v>
      </c>
      <c r="C42" s="123" t="s">
        <v>410</v>
      </c>
      <c r="D42" s="127">
        <v>1</v>
      </c>
      <c r="E42" s="127">
        <v>25</v>
      </c>
      <c r="F42" s="127">
        <v>14</v>
      </c>
      <c r="G42" s="127">
        <v>0</v>
      </c>
      <c r="H42" s="127">
        <v>0</v>
      </c>
      <c r="I42" s="127">
        <v>0</v>
      </c>
      <c r="J42" s="127">
        <v>0</v>
      </c>
      <c r="K42" s="127">
        <v>0</v>
      </c>
      <c r="L42" s="127">
        <v>0</v>
      </c>
      <c r="M42" s="127">
        <v>0</v>
      </c>
      <c r="N42" s="82">
        <v>40</v>
      </c>
      <c r="O42" s="82">
        <v>40</v>
      </c>
    </row>
    <row r="43" spans="1:15" x14ac:dyDescent="0.35">
      <c r="B43" s="128">
        <v>87001</v>
      </c>
      <c r="C43" s="17" t="s">
        <v>411</v>
      </c>
      <c r="D43" s="127">
        <v>0</v>
      </c>
      <c r="E43" s="127">
        <v>150</v>
      </c>
      <c r="F43" s="127">
        <v>117</v>
      </c>
      <c r="G43" s="127">
        <v>24</v>
      </c>
      <c r="H43" s="127">
        <v>6</v>
      </c>
      <c r="I43" s="127">
        <v>1</v>
      </c>
      <c r="J43" s="127">
        <v>0</v>
      </c>
      <c r="K43" s="127">
        <v>0</v>
      </c>
      <c r="L43" s="127">
        <v>0</v>
      </c>
      <c r="M43" s="127">
        <v>0</v>
      </c>
      <c r="N43" s="82">
        <v>297</v>
      </c>
      <c r="O43" s="82">
        <v>298</v>
      </c>
    </row>
    <row r="44" spans="1:15" x14ac:dyDescent="0.35">
      <c r="A44" s="123" t="s">
        <v>412</v>
      </c>
      <c r="B44" s="128">
        <v>90001</v>
      </c>
      <c r="C44" s="123" t="s">
        <v>413</v>
      </c>
      <c r="D44" s="9" t="s">
        <v>181</v>
      </c>
      <c r="E44" s="127">
        <v>780</v>
      </c>
      <c r="F44" s="127">
        <v>2260</v>
      </c>
      <c r="G44" s="127">
        <v>4520</v>
      </c>
      <c r="H44" s="127">
        <v>7033</v>
      </c>
      <c r="I44" s="127">
        <v>8715</v>
      </c>
      <c r="J44" s="127">
        <v>8668</v>
      </c>
      <c r="K44" s="127">
        <v>6731</v>
      </c>
      <c r="L44" s="127">
        <v>4050</v>
      </c>
      <c r="M44" s="127">
        <v>1927</v>
      </c>
      <c r="N44" s="82">
        <v>14593</v>
      </c>
      <c r="O44" s="82">
        <v>44684</v>
      </c>
    </row>
    <row r="45" spans="1:15" x14ac:dyDescent="0.35">
      <c r="B45" s="128">
        <v>90002</v>
      </c>
      <c r="C45" s="123" t="s">
        <v>414</v>
      </c>
      <c r="D45" s="9" t="s">
        <v>181</v>
      </c>
      <c r="E45" s="127">
        <v>540</v>
      </c>
      <c r="F45" s="127">
        <v>1327</v>
      </c>
      <c r="G45" s="127">
        <v>2191</v>
      </c>
      <c r="H45" s="127">
        <v>2868</v>
      </c>
      <c r="I45" s="127">
        <v>2882</v>
      </c>
      <c r="J45" s="127">
        <v>1171</v>
      </c>
      <c r="K45" s="127">
        <v>573</v>
      </c>
      <c r="L45" s="127">
        <v>281</v>
      </c>
      <c r="M45" s="127">
        <v>175</v>
      </c>
      <c r="N45" s="82">
        <v>6926</v>
      </c>
      <c r="O45" s="82">
        <v>12008</v>
      </c>
    </row>
    <row r="46" spans="1:15" x14ac:dyDescent="0.35">
      <c r="B46" s="128">
        <v>90003</v>
      </c>
      <c r="C46" s="123" t="s">
        <v>415</v>
      </c>
      <c r="D46" s="9" t="s">
        <v>181</v>
      </c>
      <c r="E46" s="127">
        <v>4000</v>
      </c>
      <c r="F46" s="127">
        <v>6900</v>
      </c>
      <c r="G46" s="127">
        <v>9550</v>
      </c>
      <c r="H46" s="127">
        <v>11500</v>
      </c>
      <c r="I46" s="127">
        <v>7050</v>
      </c>
      <c r="J46" s="127">
        <v>4200</v>
      </c>
      <c r="K46" s="127">
        <v>1800</v>
      </c>
      <c r="L46" s="127">
        <v>0</v>
      </c>
      <c r="M46" s="127">
        <v>0</v>
      </c>
      <c r="N46" s="82">
        <v>31950</v>
      </c>
      <c r="O46" s="82">
        <v>45000</v>
      </c>
    </row>
    <row r="47" spans="1:15" x14ac:dyDescent="0.35">
      <c r="B47" s="128">
        <v>90004</v>
      </c>
      <c r="C47" s="123" t="s">
        <v>416</v>
      </c>
      <c r="D47" s="9" t="s">
        <v>181</v>
      </c>
      <c r="E47" s="127">
        <v>189</v>
      </c>
      <c r="F47" s="127">
        <v>528</v>
      </c>
      <c r="G47" s="127">
        <v>967</v>
      </c>
      <c r="H47" s="127">
        <v>1365</v>
      </c>
      <c r="I47" s="127">
        <v>1330</v>
      </c>
      <c r="J47" s="127">
        <v>1013</v>
      </c>
      <c r="K47" s="127">
        <v>565</v>
      </c>
      <c r="L47" s="127">
        <v>187</v>
      </c>
      <c r="M47" s="127">
        <v>24</v>
      </c>
      <c r="N47" s="82">
        <v>3049</v>
      </c>
      <c r="O47" s="82">
        <v>6168</v>
      </c>
    </row>
    <row r="48" spans="1:15" x14ac:dyDescent="0.35">
      <c r="B48" s="128">
        <v>90005</v>
      </c>
      <c r="C48" s="123" t="s">
        <v>417</v>
      </c>
      <c r="D48" s="9" t="s">
        <v>181</v>
      </c>
      <c r="E48" s="127">
        <v>819</v>
      </c>
      <c r="F48" s="127">
        <v>4180</v>
      </c>
      <c r="G48" s="127">
        <v>5174</v>
      </c>
      <c r="H48" s="127">
        <v>1976</v>
      </c>
      <c r="I48" s="127">
        <v>358</v>
      </c>
      <c r="J48" s="127">
        <v>54</v>
      </c>
      <c r="K48" s="127">
        <v>12</v>
      </c>
      <c r="L48" s="127">
        <v>2</v>
      </c>
      <c r="M48" s="127">
        <v>0</v>
      </c>
      <c r="N48" s="82">
        <v>12149</v>
      </c>
      <c r="O48" s="82">
        <v>12575</v>
      </c>
    </row>
    <row r="49" spans="1:15" x14ac:dyDescent="0.35">
      <c r="B49" s="128">
        <v>90006</v>
      </c>
      <c r="C49" s="123" t="s">
        <v>418</v>
      </c>
      <c r="D49" s="9" t="s">
        <v>181</v>
      </c>
      <c r="E49" s="127">
        <v>11</v>
      </c>
      <c r="F49" s="127">
        <v>74</v>
      </c>
      <c r="G49" s="127">
        <v>106</v>
      </c>
      <c r="H49" s="127">
        <v>84</v>
      </c>
      <c r="I49" s="127">
        <v>21</v>
      </c>
      <c r="J49" s="127">
        <v>4</v>
      </c>
      <c r="K49" s="127">
        <v>0</v>
      </c>
      <c r="L49" s="127">
        <v>0</v>
      </c>
      <c r="M49" s="127">
        <v>0</v>
      </c>
      <c r="N49" s="82">
        <v>275</v>
      </c>
      <c r="O49" s="82">
        <v>300</v>
      </c>
    </row>
    <row r="50" spans="1:15" x14ac:dyDescent="0.35">
      <c r="B50" s="128">
        <v>90007</v>
      </c>
      <c r="C50" s="123" t="s">
        <v>419</v>
      </c>
      <c r="D50" s="9" t="s">
        <v>181</v>
      </c>
      <c r="E50" s="127">
        <v>3139</v>
      </c>
      <c r="F50" s="127">
        <v>3020</v>
      </c>
      <c r="G50" s="127">
        <v>2911</v>
      </c>
      <c r="H50" s="127">
        <v>762</v>
      </c>
      <c r="I50" s="127">
        <v>168</v>
      </c>
      <c r="J50" s="127">
        <v>0</v>
      </c>
      <c r="K50" s="127">
        <v>0</v>
      </c>
      <c r="L50" s="127">
        <v>0</v>
      </c>
      <c r="M50" s="127">
        <v>0</v>
      </c>
      <c r="N50" s="82">
        <v>9832</v>
      </c>
      <c r="O50" s="82">
        <v>10000</v>
      </c>
    </row>
    <row r="51" spans="1:15" x14ac:dyDescent="0.35">
      <c r="B51" s="128">
        <v>90101</v>
      </c>
      <c r="C51" s="123" t="s">
        <v>420</v>
      </c>
      <c r="D51" s="9">
        <v>0</v>
      </c>
      <c r="E51" s="127">
        <v>-7</v>
      </c>
      <c r="F51" s="127">
        <v>-64</v>
      </c>
      <c r="G51" s="127">
        <v>-137</v>
      </c>
      <c r="H51" s="127">
        <v>-204</v>
      </c>
      <c r="I51" s="127">
        <v>-272</v>
      </c>
      <c r="J51" s="127">
        <v>-333</v>
      </c>
      <c r="K51" s="127">
        <v>-338</v>
      </c>
      <c r="L51" s="127">
        <v>-331</v>
      </c>
      <c r="M51" s="127">
        <v>-324</v>
      </c>
      <c r="N51" s="82">
        <v>-412</v>
      </c>
      <c r="O51" s="82">
        <v>-2010</v>
      </c>
    </row>
    <row r="52" spans="1:15" x14ac:dyDescent="0.35">
      <c r="B52" s="128">
        <v>90102</v>
      </c>
      <c r="C52" t="s">
        <v>421</v>
      </c>
      <c r="D52" s="9">
        <v>0</v>
      </c>
      <c r="E52" s="127">
        <v>15</v>
      </c>
      <c r="F52" s="127">
        <v>15</v>
      </c>
      <c r="G52" s="127">
        <v>10</v>
      </c>
      <c r="H52" s="127">
        <v>10</v>
      </c>
      <c r="I52" s="127">
        <v>10</v>
      </c>
      <c r="J52" s="127">
        <v>10</v>
      </c>
      <c r="K52" s="127">
        <v>8</v>
      </c>
      <c r="L52" s="127">
        <v>5</v>
      </c>
      <c r="M52" s="127">
        <v>3</v>
      </c>
      <c r="N52" s="82">
        <v>50</v>
      </c>
      <c r="O52" s="82">
        <v>86</v>
      </c>
    </row>
    <row r="53" spans="1:15" x14ac:dyDescent="0.35">
      <c r="B53" s="128">
        <v>90103</v>
      </c>
      <c r="C53" s="17" t="s">
        <v>422</v>
      </c>
      <c r="D53" s="17">
        <v>5</v>
      </c>
      <c r="E53" s="127">
        <v>25</v>
      </c>
      <c r="F53" s="127">
        <v>25</v>
      </c>
      <c r="G53" s="127">
        <v>25</v>
      </c>
      <c r="H53" s="127">
        <v>20</v>
      </c>
      <c r="I53" s="127">
        <v>0</v>
      </c>
      <c r="J53" s="127">
        <v>0</v>
      </c>
      <c r="K53" s="127">
        <v>0</v>
      </c>
      <c r="L53" s="127">
        <v>0</v>
      </c>
      <c r="M53" s="127">
        <v>0</v>
      </c>
      <c r="N53" s="82">
        <v>100</v>
      </c>
      <c r="O53" s="82">
        <v>100</v>
      </c>
    </row>
    <row r="54" spans="1:15" x14ac:dyDescent="0.35">
      <c r="A54" s="123" t="s">
        <v>423</v>
      </c>
      <c r="B54" s="128">
        <v>100051</v>
      </c>
      <c r="C54" s="123" t="s">
        <v>424</v>
      </c>
      <c r="D54" s="9" t="s">
        <v>181</v>
      </c>
      <c r="E54" s="9">
        <v>1028</v>
      </c>
      <c r="F54" s="9">
        <v>514</v>
      </c>
      <c r="G54" s="9">
        <v>308</v>
      </c>
      <c r="H54" s="9">
        <v>205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82">
        <v>2055</v>
      </c>
      <c r="O54" s="82">
        <v>2055</v>
      </c>
    </row>
    <row r="55" spans="1:15" x14ac:dyDescent="0.35">
      <c r="B55" s="128">
        <v>100052</v>
      </c>
      <c r="C55" s="123" t="s">
        <v>425</v>
      </c>
      <c r="D55" s="9" t="s">
        <v>181</v>
      </c>
      <c r="E55" s="9">
        <v>1492</v>
      </c>
      <c r="F55" s="9">
        <v>2985</v>
      </c>
      <c r="G55" s="9">
        <v>4478</v>
      </c>
      <c r="H55" s="9">
        <v>5970</v>
      </c>
      <c r="I55" s="9">
        <v>7462</v>
      </c>
      <c r="J55" s="9">
        <v>4478</v>
      </c>
      <c r="K55" s="9">
        <v>2985</v>
      </c>
      <c r="L55" s="9">
        <v>0</v>
      </c>
      <c r="M55" s="9">
        <v>0</v>
      </c>
      <c r="N55" s="82">
        <v>14925</v>
      </c>
      <c r="O55" s="82">
        <v>29850</v>
      </c>
    </row>
    <row r="56" spans="1:15" x14ac:dyDescent="0.35">
      <c r="B56" s="128">
        <v>100053</v>
      </c>
      <c r="C56" s="123" t="s">
        <v>426</v>
      </c>
      <c r="D56" s="9" t="s">
        <v>181</v>
      </c>
      <c r="E56" s="9">
        <v>19</v>
      </c>
      <c r="F56" s="9">
        <v>52</v>
      </c>
      <c r="G56" s="9">
        <v>104</v>
      </c>
      <c r="H56" s="9">
        <v>154</v>
      </c>
      <c r="I56" s="9">
        <v>170</v>
      </c>
      <c r="J56" s="9">
        <v>149</v>
      </c>
      <c r="K56" s="9">
        <v>75</v>
      </c>
      <c r="L56" s="9">
        <v>24</v>
      </c>
      <c r="M56" s="9">
        <v>3</v>
      </c>
      <c r="N56" s="82">
        <v>329</v>
      </c>
      <c r="O56" s="82">
        <v>750</v>
      </c>
    </row>
    <row r="57" spans="1:15" x14ac:dyDescent="0.35">
      <c r="B57" s="128">
        <v>100054</v>
      </c>
      <c r="C57" s="123" t="s">
        <v>427</v>
      </c>
      <c r="D57" s="9" t="s">
        <v>181</v>
      </c>
      <c r="E57" s="9">
        <v>500</v>
      </c>
      <c r="F57" s="9">
        <v>666</v>
      </c>
      <c r="G57" s="9">
        <v>833</v>
      </c>
      <c r="H57" s="9">
        <v>999</v>
      </c>
      <c r="I57" s="9">
        <v>167</v>
      </c>
      <c r="J57" s="9">
        <v>100</v>
      </c>
      <c r="K57" s="9">
        <v>65</v>
      </c>
      <c r="L57" s="9">
        <v>0</v>
      </c>
      <c r="M57" s="9">
        <v>0</v>
      </c>
      <c r="N57" s="82">
        <v>2998</v>
      </c>
      <c r="O57" s="82">
        <v>3330</v>
      </c>
    </row>
    <row r="58" spans="1:15" x14ac:dyDescent="0.35">
      <c r="B58" s="128">
        <v>100055</v>
      </c>
      <c r="C58" s="17" t="s">
        <v>428</v>
      </c>
      <c r="D58" s="9" t="s">
        <v>181</v>
      </c>
      <c r="E58" s="9">
        <v>263</v>
      </c>
      <c r="F58" s="9">
        <v>925</v>
      </c>
      <c r="G58" s="9">
        <v>1300</v>
      </c>
      <c r="H58" s="9">
        <v>712</v>
      </c>
      <c r="I58" s="9">
        <v>300</v>
      </c>
      <c r="J58" s="9">
        <v>0</v>
      </c>
      <c r="K58" s="9">
        <v>0</v>
      </c>
      <c r="L58" s="9">
        <v>0</v>
      </c>
      <c r="M58" s="9">
        <v>0</v>
      </c>
      <c r="N58" s="82">
        <v>3200</v>
      </c>
      <c r="O58" s="82">
        <v>3500</v>
      </c>
    </row>
    <row r="59" spans="1:15" x14ac:dyDescent="0.35">
      <c r="B59" s="128">
        <v>100056</v>
      </c>
      <c r="C59" s="123" t="s">
        <v>429</v>
      </c>
      <c r="D59" s="9" t="s">
        <v>181</v>
      </c>
      <c r="E59" s="9">
        <v>452</v>
      </c>
      <c r="F59" s="9">
        <v>624</v>
      </c>
      <c r="G59" s="9">
        <v>723</v>
      </c>
      <c r="H59" s="9">
        <v>797</v>
      </c>
      <c r="I59" s="9">
        <v>814</v>
      </c>
      <c r="J59" s="9">
        <v>629</v>
      </c>
      <c r="K59" s="9">
        <v>326</v>
      </c>
      <c r="L59" s="9">
        <v>233</v>
      </c>
      <c r="M59" s="9">
        <v>166</v>
      </c>
      <c r="N59" s="82">
        <v>2596</v>
      </c>
      <c r="O59" s="82">
        <v>4764</v>
      </c>
    </row>
    <row r="60" spans="1:15" x14ac:dyDescent="0.35">
      <c r="B60" s="128">
        <v>100057</v>
      </c>
      <c r="C60" s="17" t="s">
        <v>430</v>
      </c>
      <c r="D60" s="9" t="s">
        <v>181</v>
      </c>
      <c r="E60" s="9">
        <v>61</v>
      </c>
      <c r="F60" s="9">
        <v>188</v>
      </c>
      <c r="G60" s="9">
        <v>333</v>
      </c>
      <c r="H60" s="9">
        <v>469</v>
      </c>
      <c r="I60" s="9">
        <v>94</v>
      </c>
      <c r="J60" s="9">
        <v>25</v>
      </c>
      <c r="K60" s="9">
        <v>0</v>
      </c>
      <c r="L60" s="9">
        <v>0</v>
      </c>
      <c r="M60" s="9">
        <v>0</v>
      </c>
      <c r="N60" s="82">
        <v>1051</v>
      </c>
      <c r="O60" s="82">
        <v>1170</v>
      </c>
    </row>
    <row r="61" spans="1:15" x14ac:dyDescent="0.35">
      <c r="B61" s="128">
        <v>100101</v>
      </c>
      <c r="C61" s="123" t="s">
        <v>431</v>
      </c>
      <c r="D61" s="9" t="s">
        <v>181</v>
      </c>
      <c r="E61" s="9" t="s">
        <v>181</v>
      </c>
      <c r="F61" s="9">
        <v>1</v>
      </c>
      <c r="G61" s="9">
        <v>1</v>
      </c>
      <c r="H61" s="9">
        <v>1</v>
      </c>
      <c r="I61" s="9">
        <v>1</v>
      </c>
      <c r="J61" s="9">
        <v>0</v>
      </c>
      <c r="K61" s="9">
        <v>0</v>
      </c>
      <c r="L61" s="9">
        <v>0</v>
      </c>
      <c r="M61" s="9">
        <v>0</v>
      </c>
      <c r="N61" s="82">
        <v>3</v>
      </c>
      <c r="O61" s="82">
        <v>4</v>
      </c>
    </row>
    <row r="62" spans="1:15" x14ac:dyDescent="0.35">
      <c r="B62" s="128">
        <v>100102</v>
      </c>
      <c r="C62" s="17" t="s">
        <v>432</v>
      </c>
      <c r="D62" s="9" t="s">
        <v>181</v>
      </c>
      <c r="E62" s="9" t="s">
        <v>181</v>
      </c>
      <c r="F62" s="9">
        <v>1</v>
      </c>
      <c r="G62" s="9">
        <v>1</v>
      </c>
      <c r="H62" s="9">
        <v>1</v>
      </c>
      <c r="I62" s="9">
        <v>1</v>
      </c>
      <c r="J62" s="9">
        <v>0</v>
      </c>
      <c r="K62" s="9">
        <v>0</v>
      </c>
      <c r="L62" s="9">
        <v>0</v>
      </c>
      <c r="M62" s="9">
        <v>0</v>
      </c>
      <c r="N62" s="82">
        <v>3</v>
      </c>
      <c r="O62" s="82">
        <v>4</v>
      </c>
    </row>
    <row r="63" spans="1:15" x14ac:dyDescent="0.35">
      <c r="B63" s="128">
        <v>100202</v>
      </c>
      <c r="C63" s="123" t="s">
        <v>433</v>
      </c>
      <c r="D63" s="9">
        <v>0</v>
      </c>
      <c r="E63" s="9">
        <v>275</v>
      </c>
      <c r="F63" s="9">
        <v>825</v>
      </c>
      <c r="G63" s="9">
        <v>1650</v>
      </c>
      <c r="H63" s="9">
        <v>2200</v>
      </c>
      <c r="I63" s="9">
        <v>550</v>
      </c>
      <c r="J63" s="9">
        <v>0</v>
      </c>
      <c r="K63" s="9">
        <v>0</v>
      </c>
      <c r="L63" s="9">
        <v>0</v>
      </c>
      <c r="M63" s="9">
        <v>0</v>
      </c>
      <c r="N63" s="82">
        <v>4950</v>
      </c>
      <c r="O63" s="82">
        <v>5500</v>
      </c>
    </row>
    <row r="64" spans="1:15" x14ac:dyDescent="0.35">
      <c r="B64" s="128">
        <v>100203</v>
      </c>
      <c r="C64" s="123" t="s">
        <v>434</v>
      </c>
      <c r="D64" s="9">
        <v>0</v>
      </c>
      <c r="E64" s="127">
        <v>50</v>
      </c>
      <c r="F64" s="127">
        <v>150</v>
      </c>
      <c r="G64" s="127">
        <v>275</v>
      </c>
      <c r="H64" s="127">
        <v>300</v>
      </c>
      <c r="I64" s="127">
        <v>150</v>
      </c>
      <c r="J64" s="127">
        <v>100</v>
      </c>
      <c r="K64" s="127">
        <v>100</v>
      </c>
      <c r="L64" s="127">
        <v>100</v>
      </c>
      <c r="M64" s="127">
        <v>100</v>
      </c>
      <c r="N64" s="82">
        <v>775</v>
      </c>
      <c r="O64" s="82">
        <v>1325</v>
      </c>
    </row>
    <row r="65" spans="2:15" x14ac:dyDescent="0.35">
      <c r="B65" s="128">
        <v>100204</v>
      </c>
      <c r="C65" s="17" t="s">
        <v>435</v>
      </c>
      <c r="D65" s="9"/>
      <c r="E65" s="127">
        <v>25</v>
      </c>
      <c r="F65" s="127">
        <v>100</v>
      </c>
      <c r="G65" s="127">
        <v>225</v>
      </c>
      <c r="H65" s="127">
        <v>350</v>
      </c>
      <c r="I65" s="127">
        <v>200</v>
      </c>
      <c r="J65" s="127">
        <v>0</v>
      </c>
      <c r="K65" s="127">
        <v>0</v>
      </c>
      <c r="L65" s="127">
        <v>0</v>
      </c>
      <c r="M65" s="127">
        <v>0</v>
      </c>
      <c r="N65" s="82">
        <v>700</v>
      </c>
      <c r="O65" s="82">
        <v>900</v>
      </c>
    </row>
    <row r="66" spans="2:15" x14ac:dyDescent="0.35">
      <c r="C66" s="135" t="s">
        <v>436</v>
      </c>
      <c r="D66" s="81">
        <f>SUM(D5:D65)</f>
        <v>517</v>
      </c>
      <c r="E66" s="81">
        <f>SUM(E5:E65)</f>
        <v>56977</v>
      </c>
      <c r="F66" s="81">
        <f t="shared" ref="F66:M66" si="0">SUM(F5:F65)</f>
        <v>84223</v>
      </c>
      <c r="G66" s="81">
        <f t="shared" si="0"/>
        <v>72705</v>
      </c>
      <c r="H66" s="81">
        <f t="shared" si="0"/>
        <v>69841</v>
      </c>
      <c r="I66" s="81">
        <f t="shared" si="0"/>
        <v>54218</v>
      </c>
      <c r="J66" s="81">
        <f t="shared" si="0"/>
        <v>38209</v>
      </c>
      <c r="K66" s="81">
        <f t="shared" si="0"/>
        <v>24480</v>
      </c>
      <c r="L66" s="81">
        <f t="shared" si="0"/>
        <v>12174</v>
      </c>
      <c r="M66" s="81">
        <f t="shared" si="0"/>
        <v>6324</v>
      </c>
      <c r="N66" s="81"/>
      <c r="O66" s="81"/>
    </row>
    <row r="67" spans="2:15" x14ac:dyDescent="0.35">
      <c r="C67" s="135" t="s">
        <v>437</v>
      </c>
      <c r="D67" s="120">
        <f>D66/1000</f>
        <v>0.51700000000000002</v>
      </c>
      <c r="E67" s="120">
        <f t="shared" ref="E67:M67" si="1">E66/1000</f>
        <v>56.976999999999997</v>
      </c>
      <c r="F67">
        <f t="shared" si="1"/>
        <v>84.222999999999999</v>
      </c>
      <c r="G67">
        <f t="shared" si="1"/>
        <v>72.704999999999998</v>
      </c>
      <c r="H67">
        <f t="shared" si="1"/>
        <v>69.840999999999994</v>
      </c>
      <c r="I67">
        <f t="shared" si="1"/>
        <v>54.218000000000004</v>
      </c>
      <c r="J67">
        <f t="shared" si="1"/>
        <v>38.209000000000003</v>
      </c>
      <c r="K67">
        <f t="shared" si="1"/>
        <v>24.48</v>
      </c>
      <c r="L67">
        <f t="shared" si="1"/>
        <v>12.173999999999999</v>
      </c>
      <c r="M67">
        <f t="shared" si="1"/>
        <v>6.3239999999999998</v>
      </c>
    </row>
  </sheetData>
  <mergeCells count="1">
    <mergeCell ref="D3:M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3325-A1A5-42CC-922D-81045A1195D6}">
  <dimension ref="A1:T54"/>
  <sheetViews>
    <sheetView zoomScaleNormal="10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F55" sqref="F55"/>
    </sheetView>
  </sheetViews>
  <sheetFormatPr defaultRowHeight="14.5" x14ac:dyDescent="0.35"/>
  <cols>
    <col min="3" max="3" width="23.81640625" bestFit="1" customWidth="1"/>
    <col min="4" max="4" width="14.54296875" customWidth="1"/>
    <col min="5" max="5" width="52.453125" customWidth="1"/>
    <col min="6" max="6" width="11.453125" bestFit="1" customWidth="1"/>
    <col min="7" max="9" width="12" bestFit="1" customWidth="1"/>
    <col min="10" max="12" width="13" bestFit="1" customWidth="1"/>
    <col min="13" max="15" width="13" customWidth="1"/>
    <col min="16" max="16" width="15" bestFit="1" customWidth="1"/>
    <col min="17" max="17" width="13.81640625" customWidth="1"/>
  </cols>
  <sheetData>
    <row r="1" spans="1:20" x14ac:dyDescent="0.35">
      <c r="F1" s="112" t="s">
        <v>49</v>
      </c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20" x14ac:dyDescent="0.35">
      <c r="A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</row>
    <row r="3" spans="1:20" x14ac:dyDescent="0.35">
      <c r="A3" s="121" t="s">
        <v>31</v>
      </c>
      <c r="B3" s="121"/>
      <c r="C3" s="121" t="s">
        <v>65</v>
      </c>
      <c r="D3" s="121" t="s">
        <v>66</v>
      </c>
      <c r="E3" t="s">
        <v>67</v>
      </c>
      <c r="F3" s="119">
        <v>0</v>
      </c>
      <c r="G3" s="136">
        <v>-7961</v>
      </c>
      <c r="H3" s="136">
        <v>-16116</v>
      </c>
      <c r="I3" s="136">
        <v>-21645</v>
      </c>
      <c r="J3" s="15">
        <v>-21744</v>
      </c>
      <c r="K3" s="15">
        <v>-21748</v>
      </c>
      <c r="L3" s="15">
        <v>-21565</v>
      </c>
      <c r="M3" s="15">
        <v>-24743</v>
      </c>
      <c r="N3" s="15">
        <v>-25150</v>
      </c>
      <c r="O3" s="15">
        <v>-25268</v>
      </c>
      <c r="P3" s="21">
        <v>-185940</v>
      </c>
      <c r="Q3" s="3" t="s">
        <v>68</v>
      </c>
    </row>
    <row r="4" spans="1:20" hidden="1" x14ac:dyDescent="0.35">
      <c r="A4" t="s">
        <v>31</v>
      </c>
      <c r="D4" t="s">
        <v>69</v>
      </c>
      <c r="E4" t="s">
        <v>70</v>
      </c>
      <c r="F4" s="30">
        <v>0</v>
      </c>
      <c r="G4" s="30">
        <v>0</v>
      </c>
      <c r="H4" s="32">
        <v>7936</v>
      </c>
      <c r="I4" s="32">
        <v>5921</v>
      </c>
      <c r="J4" s="32">
        <v>5598</v>
      </c>
      <c r="K4" s="32">
        <v>5698</v>
      </c>
      <c r="L4" s="32">
        <v>5744</v>
      </c>
      <c r="M4" s="32">
        <v>6150</v>
      </c>
      <c r="N4" s="32">
        <v>6397</v>
      </c>
      <c r="O4" s="32">
        <v>7020</v>
      </c>
      <c r="P4" s="33">
        <v>50464</v>
      </c>
      <c r="Q4" t="s">
        <v>71</v>
      </c>
      <c r="T4" t="s">
        <v>72</v>
      </c>
    </row>
    <row r="5" spans="1:20" hidden="1" x14ac:dyDescent="0.35">
      <c r="A5" t="s">
        <v>31</v>
      </c>
      <c r="D5" t="s">
        <v>69</v>
      </c>
      <c r="E5" t="s">
        <v>73</v>
      </c>
      <c r="F5" s="30">
        <v>0</v>
      </c>
      <c r="G5" s="30">
        <v>0</v>
      </c>
      <c r="H5" s="32">
        <v>-2015</v>
      </c>
      <c r="I5" s="30">
        <v>961</v>
      </c>
      <c r="J5" s="32">
        <v>1262</v>
      </c>
      <c r="K5" s="30">
        <v>783</v>
      </c>
      <c r="L5" s="30">
        <v>835</v>
      </c>
      <c r="M5" s="30">
        <v>714</v>
      </c>
      <c r="N5" s="30">
        <v>723</v>
      </c>
      <c r="O5" s="30">
        <v>351</v>
      </c>
      <c r="P5" s="33">
        <v>3614</v>
      </c>
    </row>
    <row r="6" spans="1:20" hidden="1" x14ac:dyDescent="0.35">
      <c r="A6" t="s">
        <v>31</v>
      </c>
      <c r="D6" t="s">
        <v>69</v>
      </c>
      <c r="E6" t="s">
        <v>74</v>
      </c>
      <c r="F6" s="30">
        <v>5</v>
      </c>
      <c r="G6" s="30">
        <v>71</v>
      </c>
      <c r="H6" s="30">
        <v>189</v>
      </c>
      <c r="I6" s="30">
        <v>215</v>
      </c>
      <c r="J6" s="30">
        <v>248</v>
      </c>
      <c r="K6" s="30">
        <v>232</v>
      </c>
      <c r="L6" s="30">
        <v>237</v>
      </c>
      <c r="M6" s="30">
        <v>253</v>
      </c>
      <c r="N6" s="30">
        <v>276</v>
      </c>
      <c r="O6" s="30">
        <v>243</v>
      </c>
      <c r="P6" s="33">
        <v>1969</v>
      </c>
    </row>
    <row r="7" spans="1:20" ht="16.5" hidden="1" x14ac:dyDescent="0.35">
      <c r="A7" t="s">
        <v>31</v>
      </c>
      <c r="E7" s="31" t="s">
        <v>75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3"/>
    </row>
    <row r="8" spans="1:20" hidden="1" x14ac:dyDescent="0.35">
      <c r="A8" t="s">
        <v>31</v>
      </c>
      <c r="D8" t="s">
        <v>69</v>
      </c>
      <c r="E8" t="s">
        <v>76</v>
      </c>
      <c r="F8" s="30">
        <v>286</v>
      </c>
      <c r="G8" s="30">
        <v>288</v>
      </c>
      <c r="H8" s="30">
        <v>286</v>
      </c>
      <c r="I8" s="30">
        <v>287</v>
      </c>
      <c r="J8" s="30">
        <v>287</v>
      </c>
      <c r="K8" s="30">
        <v>288</v>
      </c>
      <c r="L8" s="30">
        <v>286</v>
      </c>
      <c r="M8" s="30">
        <v>286</v>
      </c>
      <c r="N8" s="30">
        <v>286</v>
      </c>
      <c r="O8" s="30">
        <v>288</v>
      </c>
      <c r="P8" s="33">
        <v>2868</v>
      </c>
    </row>
    <row r="9" spans="1:20" hidden="1" x14ac:dyDescent="0.35"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20" hidden="1" x14ac:dyDescent="0.35">
      <c r="A10" t="s">
        <v>41</v>
      </c>
      <c r="C10" t="s">
        <v>77</v>
      </c>
      <c r="D10" t="s">
        <v>78</v>
      </c>
      <c r="E10" t="s">
        <v>79</v>
      </c>
      <c r="F10" s="32">
        <v>2020</v>
      </c>
      <c r="G10" s="32">
        <v>41864</v>
      </c>
      <c r="H10" s="32">
        <v>44677</v>
      </c>
      <c r="I10" s="32">
        <v>24923</v>
      </c>
      <c r="J10" s="32">
        <v>17175</v>
      </c>
      <c r="K10" s="32">
        <v>9426</v>
      </c>
      <c r="L10" s="32">
        <v>4720</v>
      </c>
      <c r="M10" s="32">
        <v>2767</v>
      </c>
      <c r="N10" s="32">
        <v>1347</v>
      </c>
      <c r="O10" s="30">
        <v>623</v>
      </c>
      <c r="P10" s="34">
        <v>149542</v>
      </c>
    </row>
    <row r="11" spans="1:20" hidden="1" x14ac:dyDescent="0.35"/>
    <row r="12" spans="1:20" hidden="1" x14ac:dyDescent="0.35">
      <c r="A12" t="s">
        <v>80</v>
      </c>
      <c r="E12" t="s">
        <v>81</v>
      </c>
      <c r="F12" s="30">
        <v>0</v>
      </c>
      <c r="G12" s="30">
        <v>-123</v>
      </c>
      <c r="H12" s="30">
        <v>-193</v>
      </c>
      <c r="I12" s="30">
        <v>-189</v>
      </c>
      <c r="J12" s="30">
        <v>-193</v>
      </c>
      <c r="K12" s="30">
        <v>-210</v>
      </c>
      <c r="L12" s="30">
        <v>-231</v>
      </c>
      <c r="M12" s="30">
        <v>-262</v>
      </c>
      <c r="N12" s="30">
        <v>-296</v>
      </c>
      <c r="O12" s="30">
        <v>-323</v>
      </c>
      <c r="P12" s="22">
        <v>-2020</v>
      </c>
    </row>
    <row r="13" spans="1:20" hidden="1" x14ac:dyDescent="0.35">
      <c r="A13" t="s">
        <v>80</v>
      </c>
      <c r="C13" t="s">
        <v>82</v>
      </c>
      <c r="E13" t="s">
        <v>83</v>
      </c>
      <c r="F13" s="19">
        <v>-16</v>
      </c>
      <c r="G13" s="19">
        <v>-21</v>
      </c>
      <c r="H13" s="19">
        <v>-27</v>
      </c>
      <c r="I13" s="19">
        <v>-34</v>
      </c>
      <c r="J13" s="19">
        <v>-27</v>
      </c>
      <c r="K13" s="19">
        <v>-10</v>
      </c>
      <c r="L13" s="19">
        <v>-3</v>
      </c>
      <c r="M13" s="19">
        <v>0</v>
      </c>
      <c r="N13" s="19">
        <v>0</v>
      </c>
      <c r="O13" s="19">
        <v>0</v>
      </c>
      <c r="P13" s="22">
        <v>-138</v>
      </c>
    </row>
    <row r="14" spans="1:20" hidden="1" x14ac:dyDescent="0.35">
      <c r="A14" t="s">
        <v>80</v>
      </c>
      <c r="E14" t="s">
        <v>84</v>
      </c>
      <c r="F14" s="19">
        <v>-1</v>
      </c>
      <c r="G14" s="19">
        <v>-44</v>
      </c>
      <c r="H14" s="19">
        <v>-50</v>
      </c>
      <c r="I14" s="19">
        <v>-50</v>
      </c>
      <c r="J14" s="19">
        <v>-50</v>
      </c>
      <c r="K14" s="19">
        <v>-50</v>
      </c>
      <c r="L14" s="19">
        <v>-50</v>
      </c>
      <c r="M14" s="19">
        <v>-51</v>
      </c>
      <c r="N14" s="19">
        <v>-51</v>
      </c>
      <c r="O14" s="19">
        <v>-51</v>
      </c>
      <c r="P14" s="22">
        <v>-448</v>
      </c>
    </row>
    <row r="15" spans="1:20" hidden="1" x14ac:dyDescent="0.35">
      <c r="A15" t="s">
        <v>80</v>
      </c>
      <c r="E15" t="s">
        <v>85</v>
      </c>
      <c r="F15" s="30">
        <v>2</v>
      </c>
      <c r="G15" s="30">
        <v>56</v>
      </c>
      <c r="H15" s="30">
        <v>190</v>
      </c>
      <c r="I15" s="30">
        <v>248</v>
      </c>
      <c r="J15" s="30">
        <v>198</v>
      </c>
      <c r="K15" s="30">
        <v>148</v>
      </c>
      <c r="L15" s="30">
        <v>96</v>
      </c>
      <c r="M15" s="30">
        <v>0</v>
      </c>
      <c r="N15" s="30">
        <v>0</v>
      </c>
      <c r="O15" s="30">
        <v>0</v>
      </c>
      <c r="P15" s="35">
        <v>938</v>
      </c>
    </row>
    <row r="16" spans="1:20" hidden="1" x14ac:dyDescent="0.35"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7" hidden="1" x14ac:dyDescent="0.35">
      <c r="A17" t="s">
        <v>86</v>
      </c>
      <c r="C17" t="s">
        <v>77</v>
      </c>
      <c r="D17" t="s">
        <v>87</v>
      </c>
      <c r="E17" t="s">
        <v>88</v>
      </c>
      <c r="F17" s="30"/>
      <c r="G17" s="30">
        <v>390</v>
      </c>
      <c r="H17" s="32">
        <v>1210</v>
      </c>
      <c r="I17" s="32">
        <v>2390</v>
      </c>
      <c r="J17" s="32">
        <v>3070</v>
      </c>
      <c r="K17" s="32">
        <v>3590</v>
      </c>
      <c r="L17" s="32">
        <v>3480</v>
      </c>
      <c r="M17" s="32">
        <v>3470</v>
      </c>
      <c r="N17" s="32">
        <v>3520</v>
      </c>
      <c r="O17" s="32">
        <v>2010</v>
      </c>
      <c r="P17" s="34">
        <v>23130</v>
      </c>
    </row>
    <row r="18" spans="1:17" hidden="1" x14ac:dyDescent="0.35">
      <c r="A18" t="s">
        <v>86</v>
      </c>
      <c r="D18" t="s">
        <v>89</v>
      </c>
      <c r="E18" t="s">
        <v>90</v>
      </c>
      <c r="F18" s="30">
        <v>0</v>
      </c>
      <c r="G18" s="30">
        <v>-200</v>
      </c>
      <c r="H18" s="30">
        <v>-200</v>
      </c>
      <c r="I18" s="32">
        <v>-1500</v>
      </c>
      <c r="J18" s="32">
        <v>-5800</v>
      </c>
      <c r="K18" s="32">
        <v>-12900</v>
      </c>
      <c r="L18" s="32">
        <v>-19800</v>
      </c>
      <c r="M18" s="32">
        <v>-22200</v>
      </c>
      <c r="N18" s="32">
        <v>-16000</v>
      </c>
      <c r="O18" s="32">
        <v>-6400</v>
      </c>
      <c r="P18" s="22">
        <v>-85000</v>
      </c>
    </row>
    <row r="19" spans="1:17" hidden="1" x14ac:dyDescent="0.35">
      <c r="A19" t="s">
        <v>86</v>
      </c>
      <c r="C19" t="s">
        <v>77</v>
      </c>
      <c r="D19" t="s">
        <v>91</v>
      </c>
      <c r="E19" t="s">
        <v>92</v>
      </c>
      <c r="F19" s="30">
        <v>0</v>
      </c>
      <c r="G19" s="30">
        <v>750</v>
      </c>
      <c r="H19" s="32">
        <v>1620</v>
      </c>
      <c r="I19" s="32">
        <v>2670</v>
      </c>
      <c r="J19" s="32">
        <v>3190</v>
      </c>
      <c r="K19" s="32">
        <v>1980</v>
      </c>
      <c r="L19" s="32">
        <v>1220</v>
      </c>
      <c r="M19" s="30">
        <v>600</v>
      </c>
      <c r="N19" s="30">
        <v>0</v>
      </c>
      <c r="O19" s="30">
        <v>0</v>
      </c>
      <c r="P19" s="34">
        <v>12030</v>
      </c>
    </row>
    <row r="20" spans="1:17" hidden="1" x14ac:dyDescent="0.35">
      <c r="A20" t="s">
        <v>86</v>
      </c>
      <c r="C20" t="s">
        <v>77</v>
      </c>
      <c r="D20" t="s">
        <v>93</v>
      </c>
      <c r="E20" t="s">
        <v>94</v>
      </c>
      <c r="F20" s="30">
        <v>0</v>
      </c>
      <c r="G20" s="32">
        <v>2000</v>
      </c>
      <c r="H20" s="32">
        <v>2480</v>
      </c>
      <c r="I20" s="32">
        <v>2270</v>
      </c>
      <c r="J20" s="32">
        <v>2080</v>
      </c>
      <c r="K20" s="30">
        <v>970</v>
      </c>
      <c r="L20" s="30">
        <v>150</v>
      </c>
      <c r="M20" s="30">
        <v>10</v>
      </c>
      <c r="N20" s="30">
        <v>0</v>
      </c>
      <c r="O20" s="30">
        <v>0</v>
      </c>
      <c r="P20" s="34">
        <v>9960</v>
      </c>
    </row>
    <row r="21" spans="1:17" hidden="1" x14ac:dyDescent="0.35">
      <c r="A21" t="s">
        <v>86</v>
      </c>
      <c r="D21" t="s">
        <v>95</v>
      </c>
      <c r="E21" s="31" t="s">
        <v>96</v>
      </c>
      <c r="F21" s="31">
        <v>0</v>
      </c>
      <c r="G21" s="30">
        <v>0</v>
      </c>
      <c r="H21" s="30">
        <v>-54</v>
      </c>
      <c r="I21" s="30">
        <v>-103</v>
      </c>
      <c r="J21" s="30">
        <v>-153</v>
      </c>
      <c r="K21" s="30">
        <v>-198</v>
      </c>
      <c r="L21" s="30">
        <v>-251</v>
      </c>
      <c r="M21" s="30">
        <v>-326</v>
      </c>
      <c r="N21" s="30">
        <v>-113</v>
      </c>
      <c r="O21" s="30">
        <v>0</v>
      </c>
      <c r="P21" s="22">
        <v>-1198</v>
      </c>
    </row>
    <row r="22" spans="1:17" hidden="1" x14ac:dyDescent="0.35">
      <c r="A22" t="s">
        <v>86</v>
      </c>
      <c r="D22" t="s">
        <v>97</v>
      </c>
      <c r="E22" t="s">
        <v>98</v>
      </c>
      <c r="F22" s="19">
        <v>-65</v>
      </c>
      <c r="G22" s="19">
        <v>-94</v>
      </c>
      <c r="H22" s="19">
        <v>-123</v>
      </c>
      <c r="I22" s="19">
        <v>-234</v>
      </c>
      <c r="J22" s="19">
        <v>-172</v>
      </c>
      <c r="K22" s="19">
        <v>-81</v>
      </c>
      <c r="L22" s="19">
        <v>-66</v>
      </c>
      <c r="M22" s="19">
        <v>-66</v>
      </c>
      <c r="N22" s="19">
        <v>-37</v>
      </c>
      <c r="O22" s="19">
        <v>22</v>
      </c>
      <c r="P22" s="24">
        <v>-916</v>
      </c>
    </row>
    <row r="23" spans="1:17" hidden="1" x14ac:dyDescent="0.35"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0"/>
    </row>
    <row r="24" spans="1:17" hidden="1" x14ac:dyDescent="0.35">
      <c r="A24" t="s">
        <v>99</v>
      </c>
      <c r="C24" t="s">
        <v>100</v>
      </c>
      <c r="D24" t="s">
        <v>101</v>
      </c>
      <c r="E24" t="s">
        <v>102</v>
      </c>
      <c r="F24" s="19">
        <v>0</v>
      </c>
      <c r="G24" s="19">
        <v>-287</v>
      </c>
      <c r="H24" s="19">
        <v>-728</v>
      </c>
      <c r="I24" s="19">
        <v>-1439</v>
      </c>
      <c r="J24" s="19">
        <v>-1320</v>
      </c>
      <c r="K24" s="19">
        <v>-1927</v>
      </c>
      <c r="L24" s="19">
        <v>-2183</v>
      </c>
      <c r="M24" s="19">
        <v>-2593</v>
      </c>
      <c r="N24" s="19">
        <v>-2821</v>
      </c>
      <c r="O24" s="19">
        <v>-3221</v>
      </c>
      <c r="P24" s="21">
        <v>-16519</v>
      </c>
    </row>
    <row r="25" spans="1:17" hidden="1" x14ac:dyDescent="0.35">
      <c r="A25" t="s">
        <v>99</v>
      </c>
      <c r="C25" t="s">
        <v>77</v>
      </c>
      <c r="D25" t="s">
        <v>103</v>
      </c>
      <c r="E25" t="s">
        <v>104</v>
      </c>
      <c r="F25" s="36">
        <v>7</v>
      </c>
      <c r="G25" s="36">
        <v>439</v>
      </c>
      <c r="H25" s="36">
        <v>493</v>
      </c>
      <c r="I25" s="36">
        <v>242</v>
      </c>
      <c r="J25" s="36">
        <v>246</v>
      </c>
      <c r="K25" s="36">
        <v>137</v>
      </c>
      <c r="L25" s="36">
        <v>126</v>
      </c>
      <c r="M25" s="36">
        <v>105</v>
      </c>
      <c r="N25" s="36">
        <v>55</v>
      </c>
      <c r="O25" s="36">
        <v>0</v>
      </c>
      <c r="P25" s="37">
        <v>1850</v>
      </c>
    </row>
    <row r="26" spans="1:17" hidden="1" x14ac:dyDescent="0.35">
      <c r="A26" t="s">
        <v>99</v>
      </c>
      <c r="C26" t="s">
        <v>77</v>
      </c>
      <c r="D26" t="s">
        <v>105</v>
      </c>
      <c r="E26" t="s">
        <v>106</v>
      </c>
      <c r="F26" s="16">
        <v>-163</v>
      </c>
      <c r="G26" s="16">
        <v>-436</v>
      </c>
      <c r="H26" s="16">
        <v>-1466</v>
      </c>
      <c r="I26" s="16">
        <v>-2140</v>
      </c>
      <c r="J26" s="16">
        <v>-2039</v>
      </c>
      <c r="K26" s="16">
        <v>-2021</v>
      </c>
      <c r="L26" s="16">
        <v>-1775</v>
      </c>
      <c r="M26" s="16">
        <v>-1225</v>
      </c>
      <c r="N26" s="16">
        <v>-1205</v>
      </c>
      <c r="O26" s="16">
        <v>-1223</v>
      </c>
      <c r="P26" s="20">
        <v>-13693</v>
      </c>
      <c r="Q26" s="15"/>
    </row>
    <row r="27" spans="1:17" hidden="1" x14ac:dyDescent="0.35"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5"/>
    </row>
    <row r="28" spans="1:17" hidden="1" x14ac:dyDescent="0.35">
      <c r="A28" t="s">
        <v>107</v>
      </c>
      <c r="C28" t="s">
        <v>77</v>
      </c>
      <c r="D28" t="s">
        <v>108</v>
      </c>
      <c r="E28" t="s">
        <v>109</v>
      </c>
      <c r="F28" s="10">
        <v>-857</v>
      </c>
      <c r="G28" s="10">
        <v>-936</v>
      </c>
      <c r="H28" s="10">
        <v>-1237</v>
      </c>
      <c r="I28" s="10">
        <v>-887</v>
      </c>
      <c r="J28" s="10">
        <v>-570</v>
      </c>
      <c r="K28" s="10">
        <v>-360</v>
      </c>
      <c r="L28" s="10">
        <v>-112</v>
      </c>
      <c r="M28" s="10">
        <v>0</v>
      </c>
      <c r="N28" s="10">
        <v>0</v>
      </c>
      <c r="O28" s="10">
        <v>0</v>
      </c>
      <c r="P28" s="20">
        <v>-4959</v>
      </c>
    </row>
    <row r="29" spans="1:17" hidden="1" x14ac:dyDescent="0.35"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6"/>
    </row>
    <row r="30" spans="1:17" hidden="1" x14ac:dyDescent="0.35">
      <c r="A30" s="73" t="s">
        <v>110</v>
      </c>
      <c r="B30">
        <v>70102</v>
      </c>
      <c r="C30" s="69" t="s">
        <v>111</v>
      </c>
      <c r="D30" s="69" t="s">
        <v>112</v>
      </c>
      <c r="E30" t="s">
        <v>113</v>
      </c>
      <c r="F30" s="10">
        <v>0</v>
      </c>
      <c r="G30" s="10">
        <v>1719</v>
      </c>
      <c r="H30" s="10">
        <v>1620</v>
      </c>
      <c r="I30" s="10">
        <v>1610</v>
      </c>
      <c r="J30" s="10">
        <v>1614</v>
      </c>
      <c r="K30" s="10">
        <v>1633</v>
      </c>
      <c r="L30" s="10">
        <v>1712</v>
      </c>
      <c r="M30" s="10">
        <v>1704</v>
      </c>
      <c r="N30" s="10">
        <v>1820</v>
      </c>
      <c r="O30" s="10">
        <v>1856</v>
      </c>
      <c r="P30" s="24">
        <v>15288</v>
      </c>
    </row>
    <row r="31" spans="1:17" hidden="1" x14ac:dyDescent="0.35">
      <c r="A31" s="73" t="s">
        <v>110</v>
      </c>
      <c r="C31" s="69" t="s">
        <v>111</v>
      </c>
      <c r="D31" s="69" t="s">
        <v>112</v>
      </c>
      <c r="E31" t="s">
        <v>114</v>
      </c>
      <c r="F31" s="10">
        <v>0</v>
      </c>
      <c r="G31" s="10">
        <v>1343</v>
      </c>
      <c r="H31" s="10">
        <v>1239</v>
      </c>
      <c r="I31" s="10">
        <v>1278</v>
      </c>
      <c r="J31" s="10">
        <v>2639</v>
      </c>
      <c r="K31" s="10">
        <v>2774</v>
      </c>
      <c r="L31" s="10">
        <v>4089</v>
      </c>
      <c r="M31" s="10">
        <v>4019</v>
      </c>
      <c r="N31" s="10">
        <v>5492</v>
      </c>
      <c r="O31" s="10">
        <v>5444</v>
      </c>
      <c r="P31" s="24">
        <v>28317</v>
      </c>
    </row>
    <row r="32" spans="1:17" hidden="1" x14ac:dyDescent="0.35">
      <c r="A32" s="73" t="s">
        <v>110</v>
      </c>
      <c r="C32" s="69" t="s">
        <v>111</v>
      </c>
      <c r="D32" s="69" t="s">
        <v>112</v>
      </c>
      <c r="E32" t="s">
        <v>115</v>
      </c>
      <c r="F32" s="10">
        <v>0</v>
      </c>
      <c r="G32" s="10">
        <v>188</v>
      </c>
      <c r="H32" s="10">
        <v>-70</v>
      </c>
      <c r="I32" s="10">
        <v>-29</v>
      </c>
      <c r="J32" s="10">
        <v>-12</v>
      </c>
      <c r="K32" s="10">
        <v>-38</v>
      </c>
      <c r="L32" s="10">
        <v>-172</v>
      </c>
      <c r="M32" s="10">
        <v>0</v>
      </c>
      <c r="N32" s="10">
        <v>0</v>
      </c>
      <c r="O32" s="10">
        <v>0</v>
      </c>
      <c r="P32" s="24">
        <v>-133</v>
      </c>
    </row>
    <row r="33" spans="1:18" hidden="1" x14ac:dyDescent="0.35">
      <c r="A33" s="69" t="s">
        <v>110</v>
      </c>
      <c r="C33" s="69" t="s">
        <v>111</v>
      </c>
      <c r="D33" s="69" t="s">
        <v>116</v>
      </c>
      <c r="E33" t="s">
        <v>117</v>
      </c>
      <c r="F33" s="9">
        <v>731</v>
      </c>
      <c r="G33" s="9">
        <v>6628</v>
      </c>
      <c r="H33" s="9">
        <v>3700</v>
      </c>
      <c r="I33" s="9">
        <v>3685</v>
      </c>
      <c r="J33" s="9">
        <v>45</v>
      </c>
      <c r="K33" s="9">
        <v>45</v>
      </c>
      <c r="L33" s="9">
        <v>45</v>
      </c>
      <c r="M33" s="9">
        <v>45</v>
      </c>
      <c r="N33" s="9">
        <v>45</v>
      </c>
      <c r="O33" s="9">
        <v>40</v>
      </c>
      <c r="P33" s="20">
        <v>15009</v>
      </c>
    </row>
    <row r="34" spans="1:18" hidden="1" x14ac:dyDescent="0.35">
      <c r="A34" s="69" t="s">
        <v>110</v>
      </c>
      <c r="C34" s="69" t="s">
        <v>111</v>
      </c>
      <c r="D34" s="69" t="s">
        <v>118</v>
      </c>
      <c r="E34" t="s">
        <v>119</v>
      </c>
      <c r="F34" s="10">
        <v>185</v>
      </c>
      <c r="G34" s="10">
        <v>410</v>
      </c>
      <c r="H34" s="10">
        <v>679</v>
      </c>
      <c r="I34" s="10">
        <v>697</v>
      </c>
      <c r="J34" s="10">
        <v>568</v>
      </c>
      <c r="K34" s="10">
        <v>584</v>
      </c>
      <c r="L34" s="10">
        <v>570</v>
      </c>
      <c r="M34" s="10">
        <v>567</v>
      </c>
      <c r="N34" s="10">
        <v>573</v>
      </c>
      <c r="O34" s="10">
        <v>570</v>
      </c>
      <c r="P34" s="21">
        <v>5404</v>
      </c>
    </row>
    <row r="35" spans="1:18" hidden="1" x14ac:dyDescent="0.35">
      <c r="A35" s="69" t="s">
        <v>110</v>
      </c>
      <c r="C35" s="69" t="s">
        <v>111</v>
      </c>
      <c r="D35" s="69" t="s">
        <v>120</v>
      </c>
      <c r="E35" t="s">
        <v>121</v>
      </c>
      <c r="F35" s="10">
        <v>-61</v>
      </c>
      <c r="G35" s="10">
        <v>18</v>
      </c>
      <c r="H35" s="10">
        <v>49</v>
      </c>
      <c r="I35" s="10">
        <v>-52</v>
      </c>
      <c r="J35" s="10">
        <v>-57</v>
      </c>
      <c r="K35" s="10">
        <v>-61</v>
      </c>
      <c r="L35" s="10">
        <v>-66</v>
      </c>
      <c r="M35" s="10">
        <v>178</v>
      </c>
      <c r="N35" s="10">
        <v>178</v>
      </c>
      <c r="O35" s="10">
        <v>178</v>
      </c>
      <c r="P35" s="21">
        <v>304</v>
      </c>
      <c r="Q35" t="s">
        <v>122</v>
      </c>
    </row>
    <row r="36" spans="1:18" hidden="1" x14ac:dyDescent="0.35">
      <c r="A36" s="69" t="s">
        <v>110</v>
      </c>
      <c r="C36" s="69" t="s">
        <v>111</v>
      </c>
      <c r="D36" s="69" t="s">
        <v>123</v>
      </c>
      <c r="E36" t="s">
        <v>124</v>
      </c>
      <c r="F36" s="10">
        <v>-28</v>
      </c>
      <c r="G36" s="10">
        <v>-1020</v>
      </c>
      <c r="H36" s="10">
        <v>-2899</v>
      </c>
      <c r="I36" s="10">
        <v>-7020</v>
      </c>
      <c r="J36" s="10">
        <v>-11647</v>
      </c>
      <c r="K36" s="10">
        <v>-13902</v>
      </c>
      <c r="L36" s="10">
        <v>-15732</v>
      </c>
      <c r="M36" s="10">
        <v>-17979</v>
      </c>
      <c r="N36" s="10">
        <v>-806</v>
      </c>
      <c r="O36" s="10">
        <v>-1267</v>
      </c>
      <c r="P36" s="21">
        <v>-72302</v>
      </c>
    </row>
    <row r="37" spans="1:18" hidden="1" x14ac:dyDescent="0.35">
      <c r="A37" s="69" t="s">
        <v>110</v>
      </c>
      <c r="C37" s="69" t="s">
        <v>125</v>
      </c>
      <c r="D37" s="69" t="s">
        <v>125</v>
      </c>
      <c r="E37" t="s">
        <v>126</v>
      </c>
      <c r="F37" s="10">
        <v>-760</v>
      </c>
      <c r="G37" s="10">
        <v>-9707</v>
      </c>
      <c r="H37" s="10">
        <v>-21133</v>
      </c>
      <c r="I37" s="10">
        <v>-25811</v>
      </c>
      <c r="J37" s="10">
        <v>-27031</v>
      </c>
      <c r="K37" s="10">
        <v>-28372</v>
      </c>
      <c r="L37" s="10">
        <v>-32699</v>
      </c>
      <c r="M37" s="10">
        <v>-30276</v>
      </c>
      <c r="N37" s="10">
        <v>-31825</v>
      </c>
      <c r="O37" s="10">
        <v>-35856</v>
      </c>
      <c r="P37" s="21">
        <v>-243470</v>
      </c>
      <c r="Q37" t="s">
        <v>127</v>
      </c>
    </row>
    <row r="38" spans="1:18" hidden="1" x14ac:dyDescent="0.35">
      <c r="A38" s="69" t="s">
        <v>110</v>
      </c>
      <c r="C38" s="69" t="s">
        <v>125</v>
      </c>
      <c r="D38" s="69" t="s">
        <v>125</v>
      </c>
      <c r="E38" t="s">
        <v>128</v>
      </c>
      <c r="F38" s="14">
        <v>0</v>
      </c>
      <c r="G38" s="14">
        <v>0</v>
      </c>
      <c r="H38" s="15">
        <v>-2460</v>
      </c>
      <c r="I38" s="15">
        <v>-3112</v>
      </c>
      <c r="J38" s="15">
        <v>-3285</v>
      </c>
      <c r="K38" s="15">
        <v>-3466</v>
      </c>
      <c r="L38" s="15">
        <v>-3658</v>
      </c>
      <c r="M38" s="15">
        <v>-3856</v>
      </c>
      <c r="N38" s="15">
        <v>-4070</v>
      </c>
      <c r="O38" s="15">
        <v>-4294</v>
      </c>
      <c r="P38" s="21">
        <v>-28201</v>
      </c>
      <c r="Q38">
        <v>71111</v>
      </c>
    </row>
    <row r="39" spans="1:18" hidden="1" x14ac:dyDescent="0.35">
      <c r="A39" s="69" t="s">
        <v>110</v>
      </c>
      <c r="C39" s="69" t="s">
        <v>125</v>
      </c>
      <c r="D39" s="69" t="s">
        <v>125</v>
      </c>
      <c r="E39" t="s">
        <v>129</v>
      </c>
      <c r="F39" s="14">
        <v>0</v>
      </c>
      <c r="G39" s="14">
        <v>1</v>
      </c>
      <c r="H39" s="14">
        <v>2</v>
      </c>
      <c r="I39" s="14">
        <v>3</v>
      </c>
      <c r="J39" s="14">
        <v>4</v>
      </c>
      <c r="K39" s="15">
        <v>-2774</v>
      </c>
      <c r="L39" s="15">
        <v>-3842</v>
      </c>
      <c r="M39" s="15">
        <v>-3059</v>
      </c>
      <c r="N39" s="15">
        <v>-3803</v>
      </c>
      <c r="O39" s="15">
        <v>-3951</v>
      </c>
      <c r="P39" s="21">
        <v>-17419</v>
      </c>
      <c r="Q39">
        <v>71103</v>
      </c>
    </row>
    <row r="40" spans="1:18" hidden="1" x14ac:dyDescent="0.35"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21"/>
    </row>
    <row r="41" spans="1:18" s="31" customFormat="1" hidden="1" x14ac:dyDescent="0.35">
      <c r="A41" s="31" t="s">
        <v>110</v>
      </c>
      <c r="C41" s="31" t="s">
        <v>130</v>
      </c>
      <c r="D41" s="31" t="s">
        <v>130</v>
      </c>
      <c r="E41" s="31" t="s">
        <v>131</v>
      </c>
      <c r="F41" s="19">
        <v>0</v>
      </c>
      <c r="G41" s="19">
        <v>1221</v>
      </c>
      <c r="H41" s="19">
        <v>584</v>
      </c>
      <c r="I41" s="19">
        <v>474</v>
      </c>
      <c r="J41" s="19">
        <v>285</v>
      </c>
      <c r="K41" s="19">
        <v>268</v>
      </c>
      <c r="L41" s="19">
        <v>194</v>
      </c>
      <c r="M41" s="19">
        <v>119</v>
      </c>
      <c r="N41" s="19">
        <v>-117</v>
      </c>
      <c r="O41" s="19">
        <v>-640</v>
      </c>
      <c r="P41" s="22">
        <v>2388</v>
      </c>
    </row>
    <row r="42" spans="1:18" hidden="1" x14ac:dyDescent="0.35">
      <c r="A42" s="69" t="s">
        <v>110</v>
      </c>
      <c r="B42">
        <v>71031</v>
      </c>
      <c r="C42" s="69" t="s">
        <v>100</v>
      </c>
      <c r="D42" s="69" t="s">
        <v>132</v>
      </c>
      <c r="E42" t="s">
        <v>133</v>
      </c>
      <c r="F42" s="10">
        <v>0</v>
      </c>
      <c r="G42" s="10">
        <v>-4933</v>
      </c>
      <c r="H42" s="10">
        <v>-15465</v>
      </c>
      <c r="I42" s="10">
        <v>-23095</v>
      </c>
      <c r="J42" s="10">
        <v>-26018</v>
      </c>
      <c r="K42" s="10">
        <v>-26543</v>
      </c>
      <c r="L42" s="10">
        <v>-27511</v>
      </c>
      <c r="M42" s="10">
        <v>-28606</v>
      </c>
      <c r="N42" s="10">
        <v>-29757</v>
      </c>
      <c r="O42" s="10">
        <v>-31042</v>
      </c>
      <c r="P42" s="40">
        <v>-212968</v>
      </c>
    </row>
    <row r="43" spans="1:18" s="31" customFormat="1" hidden="1" x14ac:dyDescent="0.35">
      <c r="A43" t="s">
        <v>110</v>
      </c>
      <c r="B43"/>
      <c r="C43" s="31" t="s">
        <v>77</v>
      </c>
      <c r="D43" s="31" t="s">
        <v>134</v>
      </c>
      <c r="E43" s="39" t="s">
        <v>135</v>
      </c>
      <c r="F43" s="19">
        <v>0</v>
      </c>
      <c r="G43" s="19">
        <v>0</v>
      </c>
      <c r="H43" s="19">
        <v>0</v>
      </c>
      <c r="I43" s="19">
        <v>472</v>
      </c>
      <c r="J43" s="19">
        <v>4715</v>
      </c>
      <c r="K43" s="19">
        <v>6695</v>
      </c>
      <c r="L43" s="19">
        <v>4715</v>
      </c>
      <c r="M43" s="19">
        <v>3725</v>
      </c>
      <c r="N43" s="19">
        <v>2122</v>
      </c>
      <c r="O43" s="19">
        <v>707</v>
      </c>
      <c r="P43" s="22">
        <v>23151</v>
      </c>
    </row>
    <row r="44" spans="1:18" s="31" customFormat="1" hidden="1" x14ac:dyDescent="0.35">
      <c r="A44"/>
      <c r="B44"/>
      <c r="E44" s="3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spans="1:18" hidden="1" x14ac:dyDescent="0.35">
      <c r="A45" t="s">
        <v>136</v>
      </c>
      <c r="C45" t="s">
        <v>137</v>
      </c>
      <c r="D45" t="s">
        <v>138</v>
      </c>
      <c r="E45" t="s">
        <v>139</v>
      </c>
      <c r="F45" s="32">
        <v>-153490</v>
      </c>
      <c r="G45" s="32">
        <v>-11580</v>
      </c>
      <c r="H45" s="32">
        <v>-8569</v>
      </c>
      <c r="I45" s="32">
        <v>-18036</v>
      </c>
      <c r="J45" s="32">
        <v>-19887</v>
      </c>
      <c r="K45" s="32">
        <v>-20912</v>
      </c>
      <c r="L45" s="32">
        <v>-21383</v>
      </c>
      <c r="M45" s="32">
        <v>-21773</v>
      </c>
      <c r="N45" s="32">
        <v>-22133</v>
      </c>
      <c r="O45" s="32">
        <v>-22374</v>
      </c>
      <c r="P45" s="21">
        <v>-320137</v>
      </c>
      <c r="Q45" t="s">
        <v>140</v>
      </c>
      <c r="R45" s="3" t="s">
        <v>141</v>
      </c>
    </row>
    <row r="46" spans="1:18" hidden="1" x14ac:dyDescent="0.35"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9"/>
    </row>
    <row r="47" spans="1:18" s="31" customFormat="1" hidden="1" x14ac:dyDescent="0.35">
      <c r="A47" s="31" t="s">
        <v>142</v>
      </c>
      <c r="C47" s="31" t="s">
        <v>77</v>
      </c>
      <c r="D47" s="31" t="s">
        <v>143</v>
      </c>
      <c r="E47" s="39" t="s">
        <v>144</v>
      </c>
      <c r="F47" s="19">
        <v>0</v>
      </c>
      <c r="G47" s="19">
        <v>9478</v>
      </c>
      <c r="H47" s="19">
        <v>18289</v>
      </c>
      <c r="I47" s="19">
        <v>25419</v>
      </c>
      <c r="J47" s="19">
        <v>25588</v>
      </c>
      <c r="K47" s="19">
        <v>20524</v>
      </c>
      <c r="L47" s="19">
        <v>15110</v>
      </c>
      <c r="M47" s="19">
        <v>9681</v>
      </c>
      <c r="N47" s="19">
        <v>4520</v>
      </c>
      <c r="O47" s="19">
        <v>2126</v>
      </c>
      <c r="P47" s="22">
        <v>130735</v>
      </c>
    </row>
    <row r="48" spans="1:18" s="31" customFormat="1" hidden="1" x14ac:dyDescent="0.35">
      <c r="A48" s="31" t="s">
        <v>142</v>
      </c>
      <c r="C48" s="31" t="s">
        <v>77</v>
      </c>
      <c r="D48" s="31" t="s">
        <v>145</v>
      </c>
      <c r="E48" s="39" t="s">
        <v>146</v>
      </c>
      <c r="F48" s="19">
        <v>5</v>
      </c>
      <c r="G48" s="19">
        <v>33</v>
      </c>
      <c r="H48" s="19">
        <v>-24</v>
      </c>
      <c r="I48" s="19">
        <v>-102</v>
      </c>
      <c r="J48" s="19">
        <v>-174</v>
      </c>
      <c r="K48" s="19">
        <v>-262</v>
      </c>
      <c r="L48" s="19">
        <v>-323</v>
      </c>
      <c r="M48" s="19">
        <v>-330</v>
      </c>
      <c r="N48" s="19">
        <v>-326</v>
      </c>
      <c r="O48" s="19">
        <v>-321</v>
      </c>
      <c r="P48" s="22">
        <v>-1824</v>
      </c>
    </row>
    <row r="49" spans="1:16" s="31" customFormat="1" hidden="1" x14ac:dyDescent="0.35">
      <c r="E49" s="3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spans="1:16" hidden="1" x14ac:dyDescent="0.35">
      <c r="A50" s="31" t="s">
        <v>147</v>
      </c>
      <c r="B50" s="31"/>
      <c r="C50" t="s">
        <v>77</v>
      </c>
      <c r="D50" t="s">
        <v>148</v>
      </c>
      <c r="E50" t="s">
        <v>149</v>
      </c>
      <c r="F50" s="10">
        <v>0</v>
      </c>
      <c r="G50" s="10">
        <v>3815</v>
      </c>
      <c r="H50" s="10">
        <v>5956</v>
      </c>
      <c r="I50" s="10">
        <v>8081</v>
      </c>
      <c r="J50" s="10">
        <v>9308</v>
      </c>
      <c r="K50" s="10">
        <v>9009</v>
      </c>
      <c r="L50" s="10">
        <v>5381</v>
      </c>
      <c r="M50" s="10">
        <v>3451</v>
      </c>
      <c r="N50" s="10">
        <v>257</v>
      </c>
      <c r="O50" s="10">
        <v>169</v>
      </c>
      <c r="P50" s="22">
        <v>45427</v>
      </c>
    </row>
    <row r="51" spans="1:16" hidden="1" x14ac:dyDescent="0.35">
      <c r="A51" s="31" t="s">
        <v>147</v>
      </c>
      <c r="B51" s="31"/>
      <c r="C51" t="s">
        <v>77</v>
      </c>
      <c r="D51" t="s">
        <v>150</v>
      </c>
      <c r="E51" t="s">
        <v>151</v>
      </c>
      <c r="F51" s="10">
        <v>0</v>
      </c>
      <c r="G51" s="10">
        <v>350</v>
      </c>
      <c r="H51" s="10">
        <v>1075</v>
      </c>
      <c r="I51" s="10">
        <v>2150</v>
      </c>
      <c r="J51" s="10">
        <v>2850</v>
      </c>
      <c r="K51" s="10">
        <v>900</v>
      </c>
      <c r="L51" s="10">
        <v>100</v>
      </c>
      <c r="M51" s="10">
        <v>100</v>
      </c>
      <c r="N51" s="10">
        <v>100</v>
      </c>
      <c r="O51" s="10">
        <v>100</v>
      </c>
      <c r="P51" s="22">
        <v>7725</v>
      </c>
    </row>
    <row r="52" spans="1:16" hidden="1" x14ac:dyDescent="0.35">
      <c r="A52" s="31" t="s">
        <v>147</v>
      </c>
      <c r="B52" s="31"/>
      <c r="C52" t="s">
        <v>152</v>
      </c>
      <c r="D52" t="s">
        <v>153</v>
      </c>
      <c r="E52" t="s">
        <v>154</v>
      </c>
      <c r="F52" s="10">
        <v>0</v>
      </c>
      <c r="G52" s="10">
        <v>-586</v>
      </c>
      <c r="H52" s="10">
        <v>-775</v>
      </c>
      <c r="I52" s="10">
        <v>-752</v>
      </c>
      <c r="J52" s="10">
        <v>-743</v>
      </c>
      <c r="K52" s="10">
        <v>-755</v>
      </c>
      <c r="L52" s="10">
        <v>-804</v>
      </c>
      <c r="M52" s="10">
        <v>-849</v>
      </c>
      <c r="N52" s="10">
        <v>-901</v>
      </c>
      <c r="O52" s="10">
        <v>-931</v>
      </c>
      <c r="P52" s="22">
        <v>-7096</v>
      </c>
    </row>
    <row r="53" spans="1:16" hidden="1" x14ac:dyDescent="0.35">
      <c r="A53" s="31"/>
      <c r="B53" s="3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9"/>
    </row>
    <row r="54" spans="1:16" hidden="1" x14ac:dyDescent="0.35">
      <c r="D54" s="41" t="s">
        <v>155</v>
      </c>
      <c r="E54" s="24"/>
      <c r="F54" s="21">
        <f>SUM(F3:F52)</f>
        <v>-152200</v>
      </c>
      <c r="G54" s="21">
        <f t="shared" ref="G54:P54" si="0">SUM(G3:G52)</f>
        <v>33134</v>
      </c>
      <c r="H54" s="21">
        <f t="shared" si="0"/>
        <v>18670</v>
      </c>
      <c r="I54" s="21">
        <f t="shared" si="0"/>
        <v>-22234</v>
      </c>
      <c r="J54" s="21">
        <f t="shared" si="0"/>
        <v>-39952</v>
      </c>
      <c r="K54" s="21">
        <f t="shared" si="0"/>
        <v>-70906</v>
      </c>
      <c r="L54" s="21">
        <f t="shared" si="0"/>
        <v>-103416</v>
      </c>
      <c r="M54" s="21">
        <f t="shared" si="0"/>
        <v>-120250</v>
      </c>
      <c r="N54" s="21">
        <f t="shared" si="0"/>
        <v>-111700</v>
      </c>
      <c r="O54" s="21">
        <f t="shared" si="0"/>
        <v>-115415</v>
      </c>
      <c r="P54" s="21">
        <f t="shared" si="0"/>
        <v>-684268</v>
      </c>
    </row>
  </sheetData>
  <mergeCells count="1">
    <mergeCell ref="F1:P1"/>
  </mergeCells>
  <phoneticPr fontId="4" type="noConversion"/>
  <hyperlinks>
    <hyperlink ref="R45" r:id="rId1" xr:uid="{252B2D4A-E7EE-4506-A577-1714AF595BAA}"/>
    <hyperlink ref="Q3" r:id="rId2" xr:uid="{02022A3B-2386-45B8-9C70-B57E2F01CF60}"/>
  </hyperlinks>
  <pageMargins left="0.7" right="0.7" top="0.75" bottom="0.75" header="0.3" footer="0.3"/>
  <drawing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C299-CFD0-4FF6-AF31-F50E2E5A186B}">
  <dimension ref="A1:O42"/>
  <sheetViews>
    <sheetView zoomScale="80" workbookViewId="0">
      <selection activeCell="C21" sqref="C21"/>
    </sheetView>
  </sheetViews>
  <sheetFormatPr defaultRowHeight="14.5" x14ac:dyDescent="0.35"/>
  <cols>
    <col min="1" max="1" width="19" bestFit="1" customWidth="1"/>
    <col min="2" max="2" width="11.1796875" bestFit="1" customWidth="1"/>
    <col min="3" max="3" width="95.26953125" bestFit="1" customWidth="1"/>
  </cols>
  <sheetData>
    <row r="1" spans="1:15" x14ac:dyDescent="0.35">
      <c r="D1" s="113" t="s">
        <v>156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26" x14ac:dyDescent="0.35">
      <c r="A2" t="s">
        <v>51</v>
      </c>
      <c r="B2" t="s">
        <v>157</v>
      </c>
      <c r="C2" t="s">
        <v>53</v>
      </c>
      <c r="D2" s="74">
        <v>2025</v>
      </c>
      <c r="E2" s="74">
        <v>2026</v>
      </c>
      <c r="F2" s="74">
        <v>2027</v>
      </c>
      <c r="G2" s="74">
        <v>2028</v>
      </c>
      <c r="H2" s="74">
        <v>2029</v>
      </c>
      <c r="I2" s="74">
        <v>2030</v>
      </c>
      <c r="J2" s="74">
        <v>2031</v>
      </c>
      <c r="K2" s="74">
        <v>2032</v>
      </c>
      <c r="L2" s="74">
        <v>2033</v>
      </c>
      <c r="M2" s="74">
        <v>2034</v>
      </c>
      <c r="N2" s="75" t="s">
        <v>158</v>
      </c>
      <c r="O2" s="75" t="s">
        <v>159</v>
      </c>
    </row>
    <row r="3" spans="1:15" x14ac:dyDescent="0.35">
      <c r="A3" t="s">
        <v>160</v>
      </c>
      <c r="B3">
        <v>70101</v>
      </c>
      <c r="C3" s="13" t="s">
        <v>161</v>
      </c>
      <c r="D3" s="52">
        <v>0</v>
      </c>
      <c r="E3" s="52">
        <v>0</v>
      </c>
      <c r="F3" s="52">
        <v>50</v>
      </c>
      <c r="G3" s="52">
        <v>48</v>
      </c>
      <c r="H3" s="52">
        <v>48</v>
      </c>
      <c r="I3" s="52">
        <v>50</v>
      </c>
      <c r="J3" s="52">
        <v>52</v>
      </c>
      <c r="K3" s="52">
        <v>49</v>
      </c>
      <c r="L3" s="52">
        <v>52</v>
      </c>
      <c r="M3" s="52">
        <v>51</v>
      </c>
      <c r="N3" s="53">
        <v>146</v>
      </c>
      <c r="O3" s="53">
        <v>400</v>
      </c>
    </row>
    <row r="4" spans="1:15" x14ac:dyDescent="0.35">
      <c r="A4" t="s">
        <v>160</v>
      </c>
      <c r="B4">
        <v>70102</v>
      </c>
      <c r="C4" s="13" t="s">
        <v>162</v>
      </c>
      <c r="D4" s="76">
        <v>0</v>
      </c>
      <c r="E4" s="77">
        <v>1719</v>
      </c>
      <c r="F4" s="77">
        <v>1620</v>
      </c>
      <c r="G4" s="77">
        <v>1610</v>
      </c>
      <c r="H4" s="77">
        <v>1614</v>
      </c>
      <c r="I4" s="77">
        <v>1633</v>
      </c>
      <c r="J4" s="77">
        <v>1712</v>
      </c>
      <c r="K4" s="77">
        <v>1704</v>
      </c>
      <c r="L4" s="77">
        <v>1820</v>
      </c>
      <c r="M4" s="77">
        <v>1856</v>
      </c>
      <c r="N4" s="78">
        <v>6563</v>
      </c>
      <c r="O4" s="78">
        <v>15288</v>
      </c>
    </row>
    <row r="5" spans="1:15" x14ac:dyDescent="0.35">
      <c r="A5" t="s">
        <v>160</v>
      </c>
      <c r="B5">
        <v>70103</v>
      </c>
      <c r="C5" s="13" t="s">
        <v>163</v>
      </c>
      <c r="D5" s="76">
        <v>0</v>
      </c>
      <c r="E5" s="76">
        <v>411</v>
      </c>
      <c r="F5" s="76">
        <v>227</v>
      </c>
      <c r="G5" s="76">
        <v>221</v>
      </c>
      <c r="H5" s="76">
        <v>221</v>
      </c>
      <c r="I5" s="76">
        <v>0</v>
      </c>
      <c r="J5" s="76">
        <v>0</v>
      </c>
      <c r="K5" s="76">
        <v>0</v>
      </c>
      <c r="L5" s="76">
        <v>0</v>
      </c>
      <c r="M5" s="76">
        <v>0</v>
      </c>
      <c r="N5" s="78">
        <v>1080</v>
      </c>
      <c r="O5" s="78">
        <v>1080</v>
      </c>
    </row>
    <row r="6" spans="1:15" x14ac:dyDescent="0.35">
      <c r="A6" t="s">
        <v>160</v>
      </c>
      <c r="B6">
        <v>70104</v>
      </c>
      <c r="C6" s="13" t="s">
        <v>164</v>
      </c>
      <c r="D6" s="76">
        <v>0</v>
      </c>
      <c r="E6" s="77">
        <v>1343</v>
      </c>
      <c r="F6" s="77">
        <v>1239</v>
      </c>
      <c r="G6" s="77">
        <v>1278</v>
      </c>
      <c r="H6" s="77">
        <v>2639</v>
      </c>
      <c r="I6" s="77">
        <v>2774</v>
      </c>
      <c r="J6" s="77">
        <v>4089</v>
      </c>
      <c r="K6" s="77">
        <v>4019</v>
      </c>
      <c r="L6" s="77">
        <v>5492</v>
      </c>
      <c r="M6" s="77">
        <v>5444</v>
      </c>
      <c r="N6" s="78">
        <v>6499</v>
      </c>
      <c r="O6" s="78">
        <v>28317</v>
      </c>
    </row>
    <row r="7" spans="1:15" x14ac:dyDescent="0.35">
      <c r="A7" t="s">
        <v>165</v>
      </c>
      <c r="B7">
        <v>70120</v>
      </c>
      <c r="C7" s="13" t="s">
        <v>166</v>
      </c>
      <c r="D7" s="76">
        <v>0</v>
      </c>
      <c r="E7" s="76">
        <v>188</v>
      </c>
      <c r="F7" s="76">
        <v>-70</v>
      </c>
      <c r="G7" s="76">
        <v>-29</v>
      </c>
      <c r="H7" s="76">
        <v>-12</v>
      </c>
      <c r="I7" s="76">
        <v>-38</v>
      </c>
      <c r="J7" s="76">
        <v>-172</v>
      </c>
      <c r="K7" s="76" t="s">
        <v>181</v>
      </c>
      <c r="L7" s="76" t="s">
        <v>181</v>
      </c>
      <c r="M7" s="76" t="s">
        <v>181</v>
      </c>
      <c r="N7" s="79">
        <v>77</v>
      </c>
      <c r="O7" s="79">
        <v>-133</v>
      </c>
    </row>
    <row r="8" spans="1:15" x14ac:dyDescent="0.35">
      <c r="A8" t="s">
        <v>160</v>
      </c>
      <c r="B8">
        <v>70204</v>
      </c>
      <c r="C8" t="s">
        <v>167</v>
      </c>
      <c r="D8" s="76">
        <v>731</v>
      </c>
      <c r="E8" s="77">
        <v>6628</v>
      </c>
      <c r="F8" s="77">
        <v>3700</v>
      </c>
      <c r="G8" s="77">
        <v>3685</v>
      </c>
      <c r="H8" s="76">
        <v>45</v>
      </c>
      <c r="I8" s="76">
        <v>45</v>
      </c>
      <c r="J8" s="76">
        <v>45</v>
      </c>
      <c r="K8" s="76">
        <v>45</v>
      </c>
      <c r="L8" s="76">
        <v>45</v>
      </c>
      <c r="M8" s="76">
        <v>40</v>
      </c>
      <c r="N8" s="78">
        <v>14789</v>
      </c>
      <c r="O8" s="78">
        <v>15009</v>
      </c>
    </row>
    <row r="9" spans="1:15" x14ac:dyDescent="0.35">
      <c r="A9" t="s">
        <v>160</v>
      </c>
      <c r="B9">
        <v>70402</v>
      </c>
      <c r="C9" t="s">
        <v>168</v>
      </c>
      <c r="D9" s="76">
        <v>185</v>
      </c>
      <c r="E9" s="76">
        <v>410</v>
      </c>
      <c r="F9" s="76">
        <v>293</v>
      </c>
      <c r="G9" s="76">
        <v>293</v>
      </c>
      <c r="H9" s="76">
        <v>178</v>
      </c>
      <c r="I9" s="76">
        <v>179</v>
      </c>
      <c r="J9" s="76">
        <v>179</v>
      </c>
      <c r="K9" s="76">
        <v>180</v>
      </c>
      <c r="L9" s="76">
        <v>181</v>
      </c>
      <c r="M9" s="76">
        <v>182</v>
      </c>
      <c r="N9" s="78">
        <v>1359</v>
      </c>
      <c r="O9" s="78">
        <v>2260</v>
      </c>
    </row>
    <row r="10" spans="1:15" x14ac:dyDescent="0.35">
      <c r="A10" t="s">
        <v>160</v>
      </c>
      <c r="B10">
        <v>70405</v>
      </c>
      <c r="C10" t="s">
        <v>169</v>
      </c>
      <c r="D10" s="52">
        <v>0</v>
      </c>
      <c r="E10" s="52">
        <v>0</v>
      </c>
      <c r="F10" s="52">
        <v>383</v>
      </c>
      <c r="G10" s="52">
        <v>401</v>
      </c>
      <c r="H10" s="52">
        <v>386</v>
      </c>
      <c r="I10" s="52">
        <v>401</v>
      </c>
      <c r="J10" s="52">
        <v>387</v>
      </c>
      <c r="K10" s="52">
        <v>383</v>
      </c>
      <c r="L10" s="52">
        <v>388</v>
      </c>
      <c r="M10" s="52">
        <v>383</v>
      </c>
      <c r="N10" s="53">
        <v>1170</v>
      </c>
      <c r="O10" s="53">
        <v>3112</v>
      </c>
    </row>
    <row r="11" spans="1:15" x14ac:dyDescent="0.35">
      <c r="A11" t="s">
        <v>170</v>
      </c>
      <c r="B11">
        <v>70427</v>
      </c>
      <c r="C11" t="s">
        <v>171</v>
      </c>
      <c r="D11" s="76">
        <v>0</v>
      </c>
      <c r="E11" s="76">
        <v>251</v>
      </c>
      <c r="F11" s="76">
        <v>208</v>
      </c>
      <c r="G11" s="76">
        <v>208</v>
      </c>
      <c r="H11" s="76">
        <v>208</v>
      </c>
      <c r="I11" s="76">
        <v>208</v>
      </c>
      <c r="J11" s="76">
        <v>208</v>
      </c>
      <c r="K11" s="76">
        <v>208</v>
      </c>
      <c r="L11" s="76">
        <v>208</v>
      </c>
      <c r="M11" s="76">
        <v>208</v>
      </c>
      <c r="N11" s="80">
        <v>875</v>
      </c>
      <c r="O11" s="78">
        <v>1915</v>
      </c>
    </row>
    <row r="12" spans="1:15" x14ac:dyDescent="0.35">
      <c r="A12" t="s">
        <v>160</v>
      </c>
      <c r="B12">
        <v>70501</v>
      </c>
      <c r="C12" t="s">
        <v>172</v>
      </c>
      <c r="D12" s="76">
        <v>0</v>
      </c>
      <c r="E12" s="76">
        <v>43</v>
      </c>
      <c r="F12" s="76">
        <v>174</v>
      </c>
      <c r="G12" s="76">
        <v>217</v>
      </c>
      <c r="H12" s="76">
        <v>345</v>
      </c>
      <c r="I12" s="76">
        <v>454</v>
      </c>
      <c r="J12" s="76">
        <v>519</v>
      </c>
      <c r="K12" s="76">
        <v>637</v>
      </c>
      <c r="L12" s="76">
        <v>584</v>
      </c>
      <c r="M12" s="76">
        <v>0</v>
      </c>
      <c r="N12" s="80">
        <v>779</v>
      </c>
      <c r="O12" s="78">
        <v>2972</v>
      </c>
    </row>
    <row r="13" spans="1:15" x14ac:dyDescent="0.35">
      <c r="A13" t="s">
        <v>160</v>
      </c>
      <c r="B13">
        <v>70502</v>
      </c>
      <c r="C13" t="s">
        <v>173</v>
      </c>
      <c r="D13" s="76">
        <v>0</v>
      </c>
      <c r="E13" s="76">
        <v>-966</v>
      </c>
      <c r="F13" s="77">
        <v>-2932</v>
      </c>
      <c r="G13" s="77">
        <v>-7098</v>
      </c>
      <c r="H13" s="77">
        <v>-11729</v>
      </c>
      <c r="I13" s="77">
        <v>-14008</v>
      </c>
      <c r="J13" s="77">
        <v>-15700</v>
      </c>
      <c r="K13" s="77">
        <v>-17613</v>
      </c>
      <c r="L13" s="76">
        <v>0</v>
      </c>
      <c r="M13" s="76">
        <v>0</v>
      </c>
      <c r="N13" s="78">
        <v>-22725</v>
      </c>
      <c r="O13" s="78">
        <v>-70046</v>
      </c>
    </row>
    <row r="14" spans="1:15" x14ac:dyDescent="0.35">
      <c r="A14" t="s">
        <v>160</v>
      </c>
      <c r="B14">
        <v>70514</v>
      </c>
      <c r="C14" t="s">
        <v>174</v>
      </c>
      <c r="D14" s="76">
        <v>-28</v>
      </c>
      <c r="E14" s="76">
        <v>-97</v>
      </c>
      <c r="F14" s="76">
        <v>-141</v>
      </c>
      <c r="G14" s="76">
        <v>-134</v>
      </c>
      <c r="H14" s="76">
        <v>-119</v>
      </c>
      <c r="I14" s="76">
        <v>-92</v>
      </c>
      <c r="J14" s="76">
        <v>-74</v>
      </c>
      <c r="K14" s="76">
        <v>-58</v>
      </c>
      <c r="L14" s="76">
        <v>-18</v>
      </c>
      <c r="M14" s="76">
        <v>0</v>
      </c>
      <c r="N14" s="80">
        <v>-519</v>
      </c>
      <c r="O14" s="80">
        <v>-761</v>
      </c>
    </row>
    <row r="15" spans="1:15" x14ac:dyDescent="0.35">
      <c r="A15" t="s">
        <v>160</v>
      </c>
      <c r="B15">
        <v>71301</v>
      </c>
      <c r="C15" t="s">
        <v>175</v>
      </c>
      <c r="D15" s="76">
        <v>0</v>
      </c>
      <c r="E15" s="76">
        <v>0</v>
      </c>
      <c r="F15" s="77">
        <v>-5453</v>
      </c>
      <c r="G15" s="77">
        <v>-7923</v>
      </c>
      <c r="H15" s="77">
        <v>-8399</v>
      </c>
      <c r="I15" s="77">
        <v>-8796</v>
      </c>
      <c r="J15" s="77">
        <v>-9254</v>
      </c>
      <c r="K15" s="77">
        <v>-9713</v>
      </c>
      <c r="L15" s="77">
        <v>-9971</v>
      </c>
      <c r="M15" s="77">
        <v>-10256</v>
      </c>
      <c r="N15" s="78">
        <v>-21775</v>
      </c>
      <c r="O15" s="78">
        <v>-69765</v>
      </c>
    </row>
    <row r="16" spans="1:15" x14ac:dyDescent="0.35">
      <c r="A16" t="s">
        <v>160</v>
      </c>
      <c r="B16">
        <v>71302</v>
      </c>
      <c r="C16" t="s">
        <v>176</v>
      </c>
      <c r="D16" s="76">
        <v>0</v>
      </c>
      <c r="E16" s="77">
        <v>-3307</v>
      </c>
      <c r="F16" s="77">
        <v>-4746</v>
      </c>
      <c r="G16" s="77">
        <v>-5159</v>
      </c>
      <c r="H16" s="77">
        <v>-5426</v>
      </c>
      <c r="I16" s="77">
        <v>-5621</v>
      </c>
      <c r="J16" s="77">
        <v>-5913</v>
      </c>
      <c r="K16" s="77">
        <v>-6224</v>
      </c>
      <c r="L16" s="77">
        <v>-6436</v>
      </c>
      <c r="M16" s="77">
        <v>-6695</v>
      </c>
      <c r="N16" s="78">
        <v>-18638</v>
      </c>
      <c r="O16" s="78">
        <v>-49527</v>
      </c>
    </row>
    <row r="17" spans="1:15" x14ac:dyDescent="0.35">
      <c r="A17" t="s">
        <v>160</v>
      </c>
      <c r="B17">
        <v>71303</v>
      </c>
      <c r="C17" t="s">
        <v>177</v>
      </c>
      <c r="D17" s="76">
        <v>0</v>
      </c>
      <c r="E17" s="76">
        <v>0</v>
      </c>
      <c r="F17" s="76">
        <v>0</v>
      </c>
      <c r="G17" s="77">
        <v>-3521</v>
      </c>
      <c r="H17" s="77">
        <v>-5124</v>
      </c>
      <c r="I17" s="77">
        <v>-5161</v>
      </c>
      <c r="J17" s="77">
        <v>-5353</v>
      </c>
      <c r="K17" s="77">
        <v>-5560</v>
      </c>
      <c r="L17" s="77">
        <v>-5895</v>
      </c>
      <c r="M17" s="77">
        <v>-6316</v>
      </c>
      <c r="N17" s="78">
        <v>-8645</v>
      </c>
      <c r="O17" s="78">
        <v>-36930</v>
      </c>
    </row>
    <row r="18" spans="1:15" x14ac:dyDescent="0.35">
      <c r="A18" t="s">
        <v>160</v>
      </c>
      <c r="B18">
        <v>71304</v>
      </c>
      <c r="C18" t="s">
        <v>178</v>
      </c>
      <c r="D18" s="76">
        <v>0</v>
      </c>
      <c r="E18" s="77">
        <v>-1587</v>
      </c>
      <c r="F18" s="77">
        <v>-3293</v>
      </c>
      <c r="G18" s="77">
        <v>-4534</v>
      </c>
      <c r="H18" s="77">
        <v>-4963</v>
      </c>
      <c r="I18" s="77">
        <v>-4833</v>
      </c>
      <c r="J18" s="77">
        <v>-4810</v>
      </c>
      <c r="K18" s="77">
        <v>-4867</v>
      </c>
      <c r="L18" s="77">
        <v>-5191</v>
      </c>
      <c r="M18" s="77">
        <v>-5404</v>
      </c>
      <c r="N18" s="78">
        <v>-14377</v>
      </c>
      <c r="O18" s="78">
        <v>-39482</v>
      </c>
    </row>
    <row r="19" spans="1:15" x14ac:dyDescent="0.35">
      <c r="A19" t="s">
        <v>160</v>
      </c>
      <c r="B19">
        <v>71305</v>
      </c>
      <c r="C19" t="s">
        <v>179</v>
      </c>
      <c r="D19" s="76">
        <v>0</v>
      </c>
      <c r="E19" s="76">
        <v>-39</v>
      </c>
      <c r="F19" s="77">
        <v>-1973</v>
      </c>
      <c r="G19" s="77">
        <v>-1958</v>
      </c>
      <c r="H19" s="77">
        <v>-2106</v>
      </c>
      <c r="I19" s="77">
        <v>-2132</v>
      </c>
      <c r="J19" s="77">
        <v>-2181</v>
      </c>
      <c r="K19" s="77">
        <v>-2242</v>
      </c>
      <c r="L19" s="77">
        <v>-2264</v>
      </c>
      <c r="M19" s="77">
        <v>-2371</v>
      </c>
      <c r="N19" s="78">
        <v>-6076</v>
      </c>
      <c r="O19" s="78">
        <v>-17264</v>
      </c>
    </row>
    <row r="20" spans="1:15" x14ac:dyDescent="0.35">
      <c r="A20" t="s">
        <v>170</v>
      </c>
      <c r="B20">
        <v>70531</v>
      </c>
      <c r="C20" t="s">
        <v>180</v>
      </c>
      <c r="D20" s="76">
        <v>0</v>
      </c>
      <c r="E20" s="76">
        <v>0</v>
      </c>
      <c r="F20" s="76">
        <v>-57</v>
      </c>
      <c r="G20" s="76">
        <v>-231</v>
      </c>
      <c r="H20" s="76">
        <v>-233</v>
      </c>
      <c r="I20" s="76">
        <v>-237</v>
      </c>
      <c r="J20" s="76">
        <v>-243</v>
      </c>
      <c r="K20" s="76">
        <v>0</v>
      </c>
      <c r="L20" s="76">
        <v>0</v>
      </c>
      <c r="M20" s="76">
        <v>0</v>
      </c>
      <c r="N20" s="80">
        <v>-521</v>
      </c>
      <c r="O20" s="78">
        <v>-1001</v>
      </c>
    </row>
    <row r="21" spans="1:15" x14ac:dyDescent="0.35">
      <c r="A21" t="s">
        <v>170</v>
      </c>
      <c r="B21">
        <v>70301</v>
      </c>
      <c r="C21" t="s">
        <v>182</v>
      </c>
      <c r="D21" s="9">
        <v>-33505</v>
      </c>
      <c r="E21" s="52">
        <v>-54214</v>
      </c>
      <c r="F21" s="52">
        <v>-35617</v>
      </c>
      <c r="G21" s="52">
        <v>-26045</v>
      </c>
      <c r="H21" s="52">
        <v>-18911</v>
      </c>
      <c r="I21" s="52">
        <v>-13293</v>
      </c>
      <c r="J21" s="52">
        <v>-10310</v>
      </c>
      <c r="K21" s="52">
        <v>-9288</v>
      </c>
      <c r="L21" s="52">
        <v>-9073</v>
      </c>
      <c r="M21" s="52">
        <v>-9201</v>
      </c>
      <c r="N21" s="53">
        <v>-168292</v>
      </c>
      <c r="O21" s="53">
        <v>-219457</v>
      </c>
    </row>
    <row r="22" spans="1:15" x14ac:dyDescent="0.35">
      <c r="A22" t="s">
        <v>170</v>
      </c>
      <c r="B22">
        <v>70302</v>
      </c>
      <c r="C22" t="s">
        <v>183</v>
      </c>
      <c r="D22" s="9">
        <v>-53793</v>
      </c>
      <c r="E22" s="52">
        <v>-33585</v>
      </c>
      <c r="F22" s="52">
        <v>-20483</v>
      </c>
      <c r="G22" s="52">
        <v>-13794</v>
      </c>
      <c r="H22" s="52">
        <v>-7480</v>
      </c>
      <c r="I22" s="52">
        <v>-3186</v>
      </c>
      <c r="J22" s="52">
        <v>-2134</v>
      </c>
      <c r="K22" s="52">
        <v>-2240</v>
      </c>
      <c r="L22" s="52">
        <v>-2343</v>
      </c>
      <c r="M22" s="52">
        <v>-2424</v>
      </c>
      <c r="N22" s="53">
        <v>-129135</v>
      </c>
      <c r="O22" s="53">
        <v>-141463</v>
      </c>
    </row>
    <row r="23" spans="1:15" x14ac:dyDescent="0.35">
      <c r="A23" t="s">
        <v>170</v>
      </c>
      <c r="B23">
        <v>70303</v>
      </c>
      <c r="C23" t="s">
        <v>184</v>
      </c>
      <c r="D23" s="9">
        <v>-8268</v>
      </c>
      <c r="E23" s="52">
        <v>-6519</v>
      </c>
      <c r="F23" s="52">
        <v>-6183</v>
      </c>
      <c r="G23" s="52">
        <v>-5673</v>
      </c>
      <c r="H23" s="52">
        <v>-5260</v>
      </c>
      <c r="I23" s="52">
        <v>-5278</v>
      </c>
      <c r="J23" s="52">
        <v>-5507</v>
      </c>
      <c r="K23" s="52">
        <v>-5529</v>
      </c>
      <c r="L23" s="52">
        <v>-6043</v>
      </c>
      <c r="M23" s="52">
        <v>-6250</v>
      </c>
      <c r="N23" s="53">
        <v>-31903</v>
      </c>
      <c r="O23" s="53">
        <v>-60511</v>
      </c>
    </row>
    <row r="24" spans="1:15" x14ac:dyDescent="0.35">
      <c r="A24" t="s">
        <v>170</v>
      </c>
      <c r="B24">
        <v>70304</v>
      </c>
      <c r="C24" t="s">
        <v>185</v>
      </c>
      <c r="D24" s="9">
        <v>0</v>
      </c>
      <c r="E24" s="52">
        <v>-102</v>
      </c>
      <c r="F24" s="52">
        <v>-260</v>
      </c>
      <c r="G24" s="52">
        <v>-379</v>
      </c>
      <c r="H24" s="52">
        <v>-489</v>
      </c>
      <c r="I24" s="52">
        <v>-610</v>
      </c>
      <c r="J24" s="52">
        <v>-737</v>
      </c>
      <c r="K24" s="52">
        <v>-870</v>
      </c>
      <c r="L24" s="52">
        <v>-972</v>
      </c>
      <c r="M24" s="52">
        <v>-1036</v>
      </c>
      <c r="N24" s="53">
        <v>-1230</v>
      </c>
      <c r="O24" s="53">
        <v>-5454</v>
      </c>
    </row>
    <row r="25" spans="1:15" x14ac:dyDescent="0.35">
      <c r="A25" t="s">
        <v>170</v>
      </c>
      <c r="B25">
        <v>70305</v>
      </c>
      <c r="C25" t="s">
        <v>186</v>
      </c>
      <c r="D25" s="9">
        <v>0</v>
      </c>
      <c r="E25" s="52">
        <v>2424</v>
      </c>
      <c r="F25" s="52">
        <v>3285</v>
      </c>
      <c r="G25" s="52">
        <v>3409</v>
      </c>
      <c r="H25" s="52">
        <v>3536</v>
      </c>
      <c r="I25" s="52">
        <v>3671</v>
      </c>
      <c r="J25" s="52">
        <v>3812</v>
      </c>
      <c r="K25" s="52">
        <v>3959</v>
      </c>
      <c r="L25" s="52">
        <v>4111</v>
      </c>
      <c r="M25" s="52">
        <v>4268</v>
      </c>
      <c r="N25" s="53">
        <v>12654</v>
      </c>
      <c r="O25" s="53">
        <v>32476</v>
      </c>
    </row>
    <row r="26" spans="1:15" x14ac:dyDescent="0.35">
      <c r="A26" t="s">
        <v>170</v>
      </c>
      <c r="B26">
        <v>70306</v>
      </c>
      <c r="C26" t="s">
        <v>187</v>
      </c>
      <c r="D26" s="9">
        <v>-2301</v>
      </c>
      <c r="E26" s="9">
        <v>-4292</v>
      </c>
      <c r="F26" s="9">
        <v>-3613</v>
      </c>
      <c r="G26" s="9">
        <v>-2995</v>
      </c>
      <c r="H26" s="9">
        <v>-2516</v>
      </c>
      <c r="I26" s="9">
        <v>-2116</v>
      </c>
      <c r="J26" s="9">
        <v>-1873</v>
      </c>
      <c r="K26" s="9">
        <v>-1757</v>
      </c>
      <c r="L26" s="9">
        <v>-1697</v>
      </c>
      <c r="M26" s="9">
        <v>-1662</v>
      </c>
      <c r="N26" s="55">
        <v>-15717</v>
      </c>
      <c r="O26" s="55">
        <v>-24822</v>
      </c>
    </row>
    <row r="27" spans="1:15" x14ac:dyDescent="0.35">
      <c r="A27" t="s">
        <v>170</v>
      </c>
      <c r="B27">
        <v>70307</v>
      </c>
      <c r="C27" t="s">
        <v>188</v>
      </c>
      <c r="D27" s="9">
        <v>-2167</v>
      </c>
      <c r="E27" s="9">
        <v>-30280</v>
      </c>
      <c r="F27" s="9">
        <v>-34374</v>
      </c>
      <c r="G27" s="9">
        <v>-33959</v>
      </c>
      <c r="H27" s="9">
        <v>-28524</v>
      </c>
      <c r="I27" s="9">
        <v>-18339</v>
      </c>
      <c r="J27" s="9">
        <v>-4229</v>
      </c>
      <c r="K27" s="9">
        <v>1926</v>
      </c>
      <c r="L27" s="9">
        <v>3950</v>
      </c>
      <c r="M27" s="9">
        <v>4600</v>
      </c>
      <c r="N27" s="55">
        <v>-129304</v>
      </c>
      <c r="O27" s="55">
        <v>-141396</v>
      </c>
    </row>
    <row r="28" spans="1:15" x14ac:dyDescent="0.35">
      <c r="A28" t="s">
        <v>170</v>
      </c>
      <c r="B28">
        <v>70308</v>
      </c>
      <c r="C28" t="s">
        <v>189</v>
      </c>
      <c r="D28" s="9">
        <v>0</v>
      </c>
      <c r="E28" s="9">
        <v>-1728</v>
      </c>
      <c r="F28" s="9">
        <v>-2876</v>
      </c>
      <c r="G28" s="9">
        <v>-3566</v>
      </c>
      <c r="H28" s="9">
        <v>-2140</v>
      </c>
      <c r="I28" s="9">
        <v>-858</v>
      </c>
      <c r="J28" s="9">
        <v>-1024</v>
      </c>
      <c r="K28" s="9">
        <v>-1057</v>
      </c>
      <c r="L28" s="9">
        <v>-868</v>
      </c>
      <c r="M28" s="9">
        <v>-794</v>
      </c>
      <c r="N28" s="55">
        <v>-10310</v>
      </c>
      <c r="O28" s="55">
        <v>-14911</v>
      </c>
    </row>
    <row r="29" spans="1:15" x14ac:dyDescent="0.35">
      <c r="A29" t="s">
        <v>170</v>
      </c>
      <c r="B29">
        <v>70309</v>
      </c>
      <c r="C29" t="s">
        <v>190</v>
      </c>
      <c r="D29" s="9">
        <v>0</v>
      </c>
      <c r="E29" s="9">
        <v>-11</v>
      </c>
      <c r="F29" s="9">
        <v>-35</v>
      </c>
      <c r="G29" s="9">
        <v>-68</v>
      </c>
      <c r="H29" s="9">
        <v>-98</v>
      </c>
      <c r="I29" s="9">
        <v>-123</v>
      </c>
      <c r="J29" s="9">
        <v>-142</v>
      </c>
      <c r="K29" s="9">
        <v>-162</v>
      </c>
      <c r="L29" s="9">
        <v>-183</v>
      </c>
      <c r="M29" s="9">
        <v>-204</v>
      </c>
      <c r="N29" s="55">
        <v>-212</v>
      </c>
      <c r="O29" s="55">
        <v>-1026</v>
      </c>
    </row>
    <row r="30" spans="1:15" x14ac:dyDescent="0.35">
      <c r="A30" t="s">
        <v>170</v>
      </c>
      <c r="B30">
        <v>70311</v>
      </c>
      <c r="C30" t="s">
        <v>191</v>
      </c>
      <c r="D30" s="9">
        <v>0</v>
      </c>
      <c r="E30" s="9">
        <v>-1347</v>
      </c>
      <c r="F30" s="9">
        <v>-2806</v>
      </c>
      <c r="G30" s="9">
        <v>-3070</v>
      </c>
      <c r="H30" s="9">
        <v>-3543</v>
      </c>
      <c r="I30" s="9">
        <v>-3707</v>
      </c>
      <c r="J30" s="9">
        <v>-3698</v>
      </c>
      <c r="K30" s="9">
        <v>-3775</v>
      </c>
      <c r="L30" s="9">
        <v>-3810</v>
      </c>
      <c r="M30" s="9">
        <v>-3975</v>
      </c>
      <c r="N30" s="55">
        <v>-10766</v>
      </c>
      <c r="O30" s="55">
        <v>-29730</v>
      </c>
    </row>
    <row r="31" spans="1:15" x14ac:dyDescent="0.35">
      <c r="A31" t="s">
        <v>170</v>
      </c>
      <c r="B31">
        <v>70312</v>
      </c>
      <c r="C31" t="s">
        <v>192</v>
      </c>
      <c r="D31" s="9" t="s">
        <v>181</v>
      </c>
      <c r="E31" s="9">
        <v>-1476</v>
      </c>
      <c r="F31" s="9">
        <v>-3444</v>
      </c>
      <c r="G31" s="9">
        <v>-4036</v>
      </c>
      <c r="H31" s="9">
        <v>-3482</v>
      </c>
      <c r="I31" s="9">
        <v>-2561</v>
      </c>
      <c r="J31" s="9">
        <v>-2315</v>
      </c>
      <c r="K31" s="9">
        <v>-2441</v>
      </c>
      <c r="L31" s="9">
        <v>-2557</v>
      </c>
      <c r="M31" s="9">
        <v>-2405</v>
      </c>
      <c r="N31" s="55">
        <v>-12438</v>
      </c>
      <c r="O31" s="55">
        <v>-24716</v>
      </c>
    </row>
    <row r="32" spans="1:15" x14ac:dyDescent="0.35">
      <c r="A32" t="s">
        <v>170</v>
      </c>
      <c r="B32">
        <v>70313</v>
      </c>
      <c r="C32" t="s">
        <v>193</v>
      </c>
      <c r="D32" s="9">
        <v>0</v>
      </c>
      <c r="E32" s="9">
        <v>-462</v>
      </c>
      <c r="F32" s="9">
        <v>-756</v>
      </c>
      <c r="G32" s="9">
        <v>-644</v>
      </c>
      <c r="H32" s="9">
        <v>-813</v>
      </c>
      <c r="I32" s="9">
        <v>-857</v>
      </c>
      <c r="J32" s="9">
        <v>-704</v>
      </c>
      <c r="K32" s="9">
        <v>-618</v>
      </c>
      <c r="L32" s="9">
        <v>-647</v>
      </c>
      <c r="M32" s="9">
        <v>-874</v>
      </c>
      <c r="N32" s="55">
        <v>-2675</v>
      </c>
      <c r="O32" s="55">
        <v>-6376</v>
      </c>
    </row>
    <row r="33" spans="1:15" x14ac:dyDescent="0.35">
      <c r="A33" t="s">
        <v>170</v>
      </c>
      <c r="B33">
        <v>70321</v>
      </c>
      <c r="C33" t="s">
        <v>194</v>
      </c>
      <c r="D33" s="9">
        <v>0</v>
      </c>
      <c r="E33" s="52">
        <v>3122</v>
      </c>
      <c r="F33" s="52">
        <v>6752</v>
      </c>
      <c r="G33" s="52">
        <v>7580</v>
      </c>
      <c r="H33" s="52">
        <v>6949</v>
      </c>
      <c r="I33" s="52">
        <v>5917</v>
      </c>
      <c r="J33" s="52">
        <v>5832</v>
      </c>
      <c r="K33" s="52">
        <v>6108</v>
      </c>
      <c r="L33" s="52">
        <v>6456</v>
      </c>
      <c r="M33" s="52">
        <v>6284</v>
      </c>
      <c r="N33" s="53">
        <v>24403</v>
      </c>
      <c r="O33" s="53">
        <v>55000</v>
      </c>
    </row>
    <row r="34" spans="1:15" x14ac:dyDescent="0.35">
      <c r="B34">
        <v>70322</v>
      </c>
    </row>
    <row r="35" spans="1:15" x14ac:dyDescent="0.35">
      <c r="B35">
        <v>70323</v>
      </c>
    </row>
    <row r="36" spans="1:15" x14ac:dyDescent="0.35">
      <c r="B36">
        <v>70331</v>
      </c>
    </row>
    <row r="37" spans="1:15" x14ac:dyDescent="0.35">
      <c r="B37">
        <v>70341</v>
      </c>
    </row>
    <row r="38" spans="1:15" x14ac:dyDescent="0.35">
      <c r="B38">
        <v>70342</v>
      </c>
    </row>
    <row r="42" spans="1:15" x14ac:dyDescent="0.35">
      <c r="C42" t="s">
        <v>355</v>
      </c>
      <c r="O42" s="81">
        <f>SUM(O20:O41)</f>
        <v>-583387</v>
      </c>
    </row>
  </sheetData>
  <mergeCells count="1">
    <mergeCell ref="D1:O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02388e-6178-4513-9b82-88b9dc6bf457}" enabled="0" method="" siteId="{0a02388e-6178-4513-9b82-88b9dc6bf4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 Do</vt:lpstr>
      <vt:lpstr>Notes</vt:lpstr>
      <vt:lpstr>Taxes - Current Law (34)</vt:lpstr>
      <vt:lpstr>Annual 61534 (Law Baseline)</vt:lpstr>
      <vt:lpstr>OLD</vt:lpstr>
      <vt:lpstr>Monthly</vt:lpstr>
      <vt:lpstr>Diff</vt:lpstr>
      <vt:lpstr>Green credit</vt:lpstr>
      <vt:lpstr>Tristan</vt:lpstr>
      <vt:lpstr>Taxes 2 - Current Policy (69)</vt:lpstr>
      <vt:lpstr>Taxes 2 - Current Law (70)</vt:lpstr>
      <vt:lpstr>CBO Table Update</vt:lpstr>
      <vt:lpstr>Medicaid</vt:lpstr>
      <vt:lpstr>Federal Purchases</vt:lpstr>
      <vt:lpstr>Annual 61533 (Policy Baseline)</vt:lpstr>
      <vt:lpstr>Taxes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Ahmad</dc:creator>
  <cp:keywords/>
  <dc:description/>
  <cp:lastModifiedBy>Sarah Ahmad</cp:lastModifiedBy>
  <cp:revision/>
  <dcterms:created xsi:type="dcterms:W3CDTF">2025-07-08T20:01:52Z</dcterms:created>
  <dcterms:modified xsi:type="dcterms:W3CDTF">2025-08-08T18:34:04Z</dcterms:modified>
  <cp:category/>
  <cp:contentStatus/>
</cp:coreProperties>
</file>