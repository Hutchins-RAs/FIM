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brookingsinstitution.sharepoint.com/sites/hutchinscenterteam/Shared Documents/Projects/Fiscal Impact/Fiscal Impact Breakdown/11-2025/"/>
    </mc:Choice>
  </mc:AlternateContent>
  <xr:revisionPtr revIDLastSave="0" documentId="13_ncr:1_{8509CAD2-AD86-43A9-82BE-EB822D972727}" xr6:coauthVersionLast="47" xr6:coauthVersionMax="47" xr10:uidLastSave="{00000000-0000-0000-0000-000000000000}"/>
  <bookViews>
    <workbookView xWindow="-4005" yWindow="-14310" windowWidth="16365" windowHeight="13260" xr2:uid="{0E707EDA-3955-4EBD-8922-EBBD29D8FDA3}"/>
  </bookViews>
  <sheets>
    <sheet name="Shutdown Effects" sheetId="1" r:id="rId1"/>
    <sheet name="Tariff Effects" sheetId="2" r:id="rId2"/>
    <sheet name="OBBBA Effe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3" l="1"/>
  <c r="AF9" i="3"/>
  <c r="AF19" i="3"/>
  <c r="AF4" i="3"/>
  <c r="AG4" i="3"/>
  <c r="AE5" i="3"/>
  <c r="AE12" i="3"/>
  <c r="AE15" i="3"/>
  <c r="AE16" i="3"/>
  <c r="AE19" i="3"/>
  <c r="AC20" i="3"/>
  <c r="AC19" i="3"/>
  <c r="AC18" i="3"/>
  <c r="AC17" i="3"/>
  <c r="AF17" i="3" s="1"/>
  <c r="AC16" i="3"/>
  <c r="AC15" i="3"/>
  <c r="AF15" i="3" s="1"/>
  <c r="AC14" i="3"/>
  <c r="AF14" i="3" s="1"/>
  <c r="AC13" i="3"/>
  <c r="AF13" i="3" s="1"/>
  <c r="AC12" i="3"/>
  <c r="AF12" i="3" s="1"/>
  <c r="AC11" i="3"/>
  <c r="AF11" i="3" s="1"/>
  <c r="AC10" i="3"/>
  <c r="AF10" i="3" s="1"/>
  <c r="AC9" i="3"/>
  <c r="AC8" i="3"/>
  <c r="AF8" i="3" s="1"/>
  <c r="AC7" i="3"/>
  <c r="AC6" i="3"/>
  <c r="AC5" i="3"/>
  <c r="AC4" i="3"/>
  <c r="Y20" i="3"/>
  <c r="Y19" i="3"/>
  <c r="Y18" i="3"/>
  <c r="AF18" i="3" s="1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U20" i="3"/>
  <c r="U19" i="3"/>
  <c r="U18" i="3"/>
  <c r="U17" i="3"/>
  <c r="U16" i="3"/>
  <c r="AF16" i="3" s="1"/>
  <c r="U15" i="3"/>
  <c r="U14" i="3"/>
  <c r="U13" i="3"/>
  <c r="U12" i="3"/>
  <c r="U11" i="3"/>
  <c r="U10" i="3"/>
  <c r="U9" i="3"/>
  <c r="U8" i="3"/>
  <c r="U7" i="3"/>
  <c r="U6" i="3"/>
  <c r="U5" i="3"/>
  <c r="U4" i="3"/>
  <c r="Q20" i="3"/>
  <c r="Q19" i="3"/>
  <c r="Q18" i="3"/>
  <c r="Q17" i="3"/>
  <c r="Q16" i="3"/>
  <c r="Q15" i="3"/>
  <c r="Q14" i="3"/>
  <c r="Q13" i="3"/>
  <c r="Q12" i="3"/>
  <c r="Q11" i="3"/>
  <c r="AE11" i="3" s="1"/>
  <c r="Q10" i="3"/>
  <c r="AE10" i="3" s="1"/>
  <c r="Q9" i="3"/>
  <c r="AE9" i="3" s="1"/>
  <c r="Q8" i="3"/>
  <c r="AE8" i="3" s="1"/>
  <c r="Q7" i="3"/>
  <c r="AE7" i="3" s="1"/>
  <c r="Q6" i="3"/>
  <c r="AE6" i="3" s="1"/>
  <c r="Q5" i="3"/>
  <c r="Q4" i="3"/>
  <c r="AE4" i="3" s="1"/>
  <c r="M20" i="3"/>
  <c r="AF20" i="3" s="1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AF7" i="3" s="1"/>
  <c r="M6" i="3"/>
  <c r="AF6" i="3" s="1"/>
  <c r="M5" i="3"/>
  <c r="M4" i="3"/>
  <c r="I4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4" i="3"/>
  <c r="AE14" i="3" l="1"/>
  <c r="AG7" i="3"/>
  <c r="AE13" i="3"/>
  <c r="AE17" i="3"/>
  <c r="AE18" i="3"/>
  <c r="AE20" i="3"/>
  <c r="AG20" i="3"/>
  <c r="AG6" i="3"/>
  <c r="AG18" i="3"/>
  <c r="AG8" i="3"/>
  <c r="AG9" i="3"/>
  <c r="AG19" i="3"/>
  <c r="AG5" i="3"/>
  <c r="AG10" i="3"/>
  <c r="AG17" i="3"/>
  <c r="AG16" i="3"/>
  <c r="AG11" i="3"/>
  <c r="AG15" i="3"/>
  <c r="AG14" i="3"/>
  <c r="AG13" i="3"/>
  <c r="AG12" i="3"/>
  <c r="AI4" i="3"/>
  <c r="AI5" i="3"/>
  <c r="AI15" i="3"/>
  <c r="AI16" i="3"/>
  <c r="AI17" i="3"/>
  <c r="AI13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AI14" i="3" l="1"/>
  <c r="AI10" i="3"/>
  <c r="AI6" i="3"/>
  <c r="AI9" i="3"/>
  <c r="AI19" i="3"/>
  <c r="AI20" i="3"/>
  <c r="AI12" i="3"/>
  <c r="AI11" i="3"/>
  <c r="AI8" i="3"/>
  <c r="AI7" i="3"/>
  <c r="AI18" i="3"/>
</calcChain>
</file>

<file path=xl/sharedStrings.xml><?xml version="1.0" encoding="utf-8"?>
<sst xmlns="http://schemas.openxmlformats.org/spreadsheetml/2006/main" count="101" uniqueCount="45">
  <si>
    <t>plus 10% in q4 -8.4% in q1</t>
  </si>
  <si>
    <t>deflator add factor for shutdown</t>
  </si>
  <si>
    <t>2027 Q2</t>
  </si>
  <si>
    <t>2027 Q1</t>
  </si>
  <si>
    <t>2026 Q4</t>
  </si>
  <si>
    <t>2026 Q3</t>
  </si>
  <si>
    <t>2026 Q2</t>
  </si>
  <si>
    <t>2026 Q1</t>
  </si>
  <si>
    <t>2025 Q4</t>
  </si>
  <si>
    <t>2025 Q3</t>
  </si>
  <si>
    <t>2025 Q2</t>
  </si>
  <si>
    <t>2025 Q1</t>
  </si>
  <si>
    <t>2024 Q4</t>
  </si>
  <si>
    <t>2024 Q3</t>
  </si>
  <si>
    <t>2024 Q2</t>
  </si>
  <si>
    <t>2024 Q1</t>
  </si>
  <si>
    <t>2023 Q4</t>
  </si>
  <si>
    <t>2023 Q3</t>
  </si>
  <si>
    <t>2023 Q2</t>
  </si>
  <si>
    <t>shutdown effect</t>
  </si>
  <si>
    <t>federal_purchases_contribution_no_shutdown</t>
  </si>
  <si>
    <t>federal_purchases_contribution</t>
  </si>
  <si>
    <t>date</t>
  </si>
  <si>
    <t>diff</t>
  </si>
  <si>
    <t>federal_non_corporate_taxes_contribution_no_tariffs</t>
  </si>
  <si>
    <t>federal_non_corporate_taxes_contribution</t>
  </si>
  <si>
    <t>Federal Noncorporate Taxes</t>
  </si>
  <si>
    <t>Federal Corporate Taxes</t>
  </si>
  <si>
    <t>Student Loans</t>
  </si>
  <si>
    <t>Federal Purchases</t>
  </si>
  <si>
    <t>Taxes</t>
  </si>
  <si>
    <t>Transfers</t>
  </si>
  <si>
    <t>federal_non_corporate_taxes</t>
  </si>
  <si>
    <t>With OBBBA</t>
  </si>
  <si>
    <t>Without OBBBA</t>
  </si>
  <si>
    <t>Effect</t>
  </si>
  <si>
    <t>federal_corporate_taxes</t>
  </si>
  <si>
    <t>federal_student_loans</t>
  </si>
  <si>
    <t>federal_purchases</t>
  </si>
  <si>
    <t>federal_social_benefits</t>
  </si>
  <si>
    <t>Social Benefits</t>
  </si>
  <si>
    <t>federal_health_outlays</t>
  </si>
  <si>
    <t>Medicaid</t>
  </si>
  <si>
    <t>state_health_outlays</t>
  </si>
  <si>
    <t>Total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</si>
</sst>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B9B9-02BD-4F11-83B2-243E3B317630}">
  <dimension ref="A1:D25"/>
  <sheetViews>
    <sheetView tabSelected="1" workbookViewId="0">
      <selection activeCell="M1" sqref="M1"/>
    </sheetView>
  </sheetViews>
  <sheetFormatPr defaultRowHeight="14.5" x14ac:dyDescent="0.35"/>
  <cols>
    <col min="2" max="2" width="8.1796875" customWidth="1"/>
  </cols>
  <sheetData>
    <row r="1" spans="1:4" s="1" customFormat="1" ht="87" x14ac:dyDescent="0.35">
      <c r="A1" s="1" t="s">
        <v>22</v>
      </c>
      <c r="B1" s="1" t="s">
        <v>21</v>
      </c>
      <c r="C1" s="1" t="s">
        <v>20</v>
      </c>
      <c r="D1" s="1" t="s">
        <v>19</v>
      </c>
    </row>
    <row r="2" spans="1:4" x14ac:dyDescent="0.35">
      <c r="A2" t="s">
        <v>18</v>
      </c>
      <c r="B2">
        <v>-0.14802611157274501</v>
      </c>
      <c r="C2">
        <v>-0.14802611157274501</v>
      </c>
      <c r="D2">
        <f t="shared" ref="D2:D18" si="0">B2-C2</f>
        <v>0</v>
      </c>
    </row>
    <row r="3" spans="1:4" x14ac:dyDescent="0.35">
      <c r="A3" t="s">
        <v>17</v>
      </c>
      <c r="B3">
        <v>0.29138772747964098</v>
      </c>
      <c r="C3">
        <v>0.29138772747964098</v>
      </c>
      <c r="D3">
        <f t="shared" si="0"/>
        <v>0</v>
      </c>
    </row>
    <row r="4" spans="1:4" x14ac:dyDescent="0.35">
      <c r="A4" t="s">
        <v>16</v>
      </c>
      <c r="B4">
        <v>7.0409518749265695E-2</v>
      </c>
      <c r="C4">
        <v>7.0409518749265695E-2</v>
      </c>
      <c r="D4">
        <f t="shared" si="0"/>
        <v>0</v>
      </c>
    </row>
    <row r="5" spans="1:4" x14ac:dyDescent="0.35">
      <c r="A5" t="s">
        <v>15</v>
      </c>
      <c r="B5">
        <v>-9.5656904722252106E-2</v>
      </c>
      <c r="C5">
        <v>-9.5656904722252106E-2</v>
      </c>
      <c r="D5">
        <f t="shared" si="0"/>
        <v>0</v>
      </c>
    </row>
    <row r="6" spans="1:4" x14ac:dyDescent="0.35">
      <c r="A6" t="s">
        <v>14</v>
      </c>
      <c r="B6">
        <v>0.12347864355657601</v>
      </c>
      <c r="C6">
        <v>0.12347864355657601</v>
      </c>
      <c r="D6">
        <f t="shared" si="0"/>
        <v>0</v>
      </c>
    </row>
    <row r="7" spans="1:4" x14ac:dyDescent="0.35">
      <c r="A7" t="s">
        <v>13</v>
      </c>
      <c r="B7">
        <v>0.40650570357638799</v>
      </c>
      <c r="C7">
        <v>0.40650570357638799</v>
      </c>
      <c r="D7">
        <f t="shared" si="0"/>
        <v>0</v>
      </c>
    </row>
    <row r="8" spans="1:4" x14ac:dyDescent="0.35">
      <c r="A8" t="s">
        <v>12</v>
      </c>
      <c r="B8">
        <v>0.133873781721287</v>
      </c>
      <c r="C8">
        <v>0.133873781721287</v>
      </c>
      <c r="D8">
        <f t="shared" si="0"/>
        <v>0</v>
      </c>
    </row>
    <row r="9" spans="1:4" x14ac:dyDescent="0.35">
      <c r="A9" t="s">
        <v>11</v>
      </c>
      <c r="B9">
        <v>-0.51945344220673595</v>
      </c>
      <c r="C9">
        <v>-0.51945344220673595</v>
      </c>
      <c r="D9">
        <f t="shared" si="0"/>
        <v>0</v>
      </c>
    </row>
    <row r="10" spans="1:4" x14ac:dyDescent="0.35">
      <c r="A10" t="s">
        <v>10</v>
      </c>
      <c r="B10">
        <v>-0.49659070787292697</v>
      </c>
      <c r="C10">
        <v>-0.49659070787292697</v>
      </c>
      <c r="D10">
        <f t="shared" si="0"/>
        <v>0</v>
      </c>
    </row>
    <row r="11" spans="1:4" x14ac:dyDescent="0.35">
      <c r="A11" t="s">
        <v>9</v>
      </c>
      <c r="B11">
        <v>0.163111297253933</v>
      </c>
      <c r="C11">
        <v>0.163111297253933</v>
      </c>
      <c r="D11">
        <f t="shared" si="0"/>
        <v>0</v>
      </c>
    </row>
    <row r="12" spans="1:4" x14ac:dyDescent="0.35">
      <c r="A12" t="s">
        <v>8</v>
      </c>
      <c r="B12">
        <v>-0.55089403689012195</v>
      </c>
      <c r="C12">
        <v>5.1277427045617302E-2</v>
      </c>
      <c r="D12">
        <f t="shared" si="0"/>
        <v>-0.60217146393573928</v>
      </c>
    </row>
    <row r="13" spans="1:4" x14ac:dyDescent="0.35">
      <c r="A13" t="s">
        <v>7</v>
      </c>
      <c r="B13">
        <v>0.89353248872401803</v>
      </c>
      <c r="C13">
        <v>0.29588504945161798</v>
      </c>
      <c r="D13">
        <f t="shared" si="0"/>
        <v>0.59764743927240005</v>
      </c>
    </row>
    <row r="14" spans="1:4" x14ac:dyDescent="0.35">
      <c r="A14" t="s">
        <v>6</v>
      </c>
      <c r="B14">
        <v>2.5063031368209299E-2</v>
      </c>
      <c r="C14">
        <v>2.5063031368209299E-2</v>
      </c>
      <c r="D14">
        <f t="shared" si="0"/>
        <v>0</v>
      </c>
    </row>
    <row r="15" spans="1:4" x14ac:dyDescent="0.35">
      <c r="A15" t="s">
        <v>5</v>
      </c>
      <c r="B15">
        <v>-3.9419277329213298E-2</v>
      </c>
      <c r="C15">
        <v>-3.9419277329213298E-2</v>
      </c>
      <c r="D15">
        <f t="shared" si="0"/>
        <v>0</v>
      </c>
    </row>
    <row r="16" spans="1:4" x14ac:dyDescent="0.35">
      <c r="A16" t="s">
        <v>4</v>
      </c>
      <c r="B16">
        <v>-0.134754265364598</v>
      </c>
      <c r="C16">
        <v>-0.134754265364598</v>
      </c>
      <c r="D16">
        <f t="shared" si="0"/>
        <v>0</v>
      </c>
    </row>
    <row r="17" spans="1:4" x14ac:dyDescent="0.35">
      <c r="A17" t="s">
        <v>3</v>
      </c>
      <c r="B17">
        <v>-6.4067477393471503E-2</v>
      </c>
      <c r="C17">
        <v>-6.4067477393471503E-2</v>
      </c>
      <c r="D17">
        <f t="shared" si="0"/>
        <v>0</v>
      </c>
    </row>
    <row r="18" spans="1:4" x14ac:dyDescent="0.35">
      <c r="A18" t="s">
        <v>2</v>
      </c>
      <c r="B18">
        <v>-0.110727166879507</v>
      </c>
      <c r="C18">
        <v>-0.110727166879507</v>
      </c>
      <c r="D18">
        <f t="shared" si="0"/>
        <v>0</v>
      </c>
    </row>
    <row r="23" spans="1:4" x14ac:dyDescent="0.35">
      <c r="A23" t="s">
        <v>1</v>
      </c>
    </row>
    <row r="25" spans="1:4" x14ac:dyDescent="0.35">
      <c r="A2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D155-32C9-4AD6-958D-ED382FA70BD3}">
  <dimension ref="A1:D18"/>
  <sheetViews>
    <sheetView zoomScale="130" zoomScaleNormal="130" workbookViewId="0">
      <selection activeCell="E8" sqref="E8"/>
    </sheetView>
  </sheetViews>
  <sheetFormatPr defaultRowHeight="14.5" x14ac:dyDescent="0.35"/>
  <sheetData>
    <row r="1" spans="1:4" ht="101.5" x14ac:dyDescent="0.35">
      <c r="A1" s="1" t="s">
        <v>22</v>
      </c>
      <c r="B1" s="1" t="s">
        <v>25</v>
      </c>
      <c r="C1" s="1" t="s">
        <v>24</v>
      </c>
      <c r="D1" s="1" t="s">
        <v>23</v>
      </c>
    </row>
    <row r="2" spans="1:4" x14ac:dyDescent="0.35">
      <c r="A2" t="s">
        <v>18</v>
      </c>
      <c r="B2">
        <v>0.40168306970290102</v>
      </c>
      <c r="C2">
        <v>0.40168306970290102</v>
      </c>
      <c r="D2">
        <f>B2-C2</f>
        <v>0</v>
      </c>
    </row>
    <row r="3" spans="1:4" x14ac:dyDescent="0.35">
      <c r="A3" t="s">
        <v>17</v>
      </c>
      <c r="B3">
        <v>0.113357457258702</v>
      </c>
      <c r="C3">
        <v>0.113357457258702</v>
      </c>
      <c r="D3">
        <f t="shared" ref="D3:D18" si="0">B3-C3</f>
        <v>0</v>
      </c>
    </row>
    <row r="4" spans="1:4" x14ac:dyDescent="0.35">
      <c r="A4" t="s">
        <v>16</v>
      </c>
      <c r="B4">
        <v>8.4390722113830099E-2</v>
      </c>
      <c r="C4">
        <v>8.4390722113830099E-2</v>
      </c>
      <c r="D4">
        <f t="shared" si="0"/>
        <v>0</v>
      </c>
    </row>
    <row r="5" spans="1:4" x14ac:dyDescent="0.35">
      <c r="A5" t="s">
        <v>15</v>
      </c>
      <c r="B5">
        <v>0.49002857232950098</v>
      </c>
      <c r="C5">
        <v>0.49002857232950098</v>
      </c>
      <c r="D5">
        <f t="shared" si="0"/>
        <v>0</v>
      </c>
    </row>
    <row r="6" spans="1:4" x14ac:dyDescent="0.35">
      <c r="A6" t="s">
        <v>14</v>
      </c>
      <c r="B6">
        <v>0.350634639232693</v>
      </c>
      <c r="C6">
        <v>0.350634639232693</v>
      </c>
      <c r="D6">
        <f t="shared" si="0"/>
        <v>0</v>
      </c>
    </row>
    <row r="7" spans="1:4" x14ac:dyDescent="0.35">
      <c r="A7" t="s">
        <v>13</v>
      </c>
      <c r="B7">
        <v>0.26769889286291498</v>
      </c>
      <c r="C7">
        <v>0.26769889286291498</v>
      </c>
      <c r="D7">
        <f t="shared" si="0"/>
        <v>0</v>
      </c>
    </row>
    <row r="8" spans="1:4" x14ac:dyDescent="0.35">
      <c r="A8" t="s">
        <v>12</v>
      </c>
      <c r="B8">
        <v>0.26578106401662999</v>
      </c>
      <c r="C8">
        <v>0.26578106401662999</v>
      </c>
      <c r="D8">
        <f t="shared" si="0"/>
        <v>0</v>
      </c>
    </row>
    <row r="9" spans="1:4" x14ac:dyDescent="0.35">
      <c r="A9" t="s">
        <v>11</v>
      </c>
      <c r="B9">
        <v>-6.8923507981179702E-2</v>
      </c>
      <c r="C9">
        <v>-6.8923507981179702E-2</v>
      </c>
      <c r="D9">
        <f t="shared" si="0"/>
        <v>0</v>
      </c>
    </row>
    <row r="10" spans="1:4" x14ac:dyDescent="0.35">
      <c r="A10" t="s">
        <v>10</v>
      </c>
      <c r="B10">
        <v>-0.49360351627841198</v>
      </c>
      <c r="C10">
        <v>-0.21567094977110701</v>
      </c>
      <c r="D10">
        <f t="shared" si="0"/>
        <v>-0.27793256650730497</v>
      </c>
    </row>
    <row r="11" spans="1:4" x14ac:dyDescent="0.35">
      <c r="A11" t="s">
        <v>9</v>
      </c>
      <c r="B11">
        <v>-0.225617648258191</v>
      </c>
      <c r="C11">
        <v>0.183825060946469</v>
      </c>
      <c r="D11">
        <f t="shared" si="0"/>
        <v>-0.40944270920465997</v>
      </c>
    </row>
    <row r="12" spans="1:4" x14ac:dyDescent="0.35">
      <c r="A12" t="s">
        <v>8</v>
      </c>
      <c r="B12">
        <v>-0.18376482299076699</v>
      </c>
      <c r="C12">
        <v>0.17518373666777601</v>
      </c>
      <c r="D12">
        <f t="shared" si="0"/>
        <v>-0.358948559658543</v>
      </c>
    </row>
    <row r="13" spans="1:4" x14ac:dyDescent="0.35">
      <c r="A13" t="s">
        <v>7</v>
      </c>
      <c r="B13">
        <v>-0.157889086807043</v>
      </c>
      <c r="C13">
        <v>0.12718876709139601</v>
      </c>
      <c r="D13">
        <f t="shared" si="0"/>
        <v>-0.28507785389843898</v>
      </c>
    </row>
    <row r="14" spans="1:4" x14ac:dyDescent="0.35">
      <c r="A14" t="s">
        <v>6</v>
      </c>
      <c r="B14">
        <v>-0.108594546287687</v>
      </c>
      <c r="C14">
        <v>0.128735948590391</v>
      </c>
      <c r="D14">
        <f t="shared" si="0"/>
        <v>-0.237330494878078</v>
      </c>
    </row>
    <row r="15" spans="1:4" x14ac:dyDescent="0.35">
      <c r="A15" t="s">
        <v>5</v>
      </c>
      <c r="B15">
        <v>-0.107081655066805</v>
      </c>
      <c r="C15">
        <v>0.126084682237845</v>
      </c>
      <c r="D15">
        <f t="shared" si="0"/>
        <v>-0.23316633730465</v>
      </c>
    </row>
    <row r="16" spans="1:4" x14ac:dyDescent="0.35">
      <c r="A16" t="s">
        <v>4</v>
      </c>
      <c r="B16">
        <v>-8.53676104400794E-2</v>
      </c>
      <c r="C16">
        <v>0.14519450482926699</v>
      </c>
      <c r="D16">
        <f t="shared" si="0"/>
        <v>-0.23056211526934639</v>
      </c>
    </row>
    <row r="17" spans="1:4" x14ac:dyDescent="0.35">
      <c r="A17" t="s">
        <v>3</v>
      </c>
      <c r="B17">
        <v>-0.194568075207978</v>
      </c>
      <c r="C17">
        <v>3.4041001179858997E-2</v>
      </c>
      <c r="D17">
        <f t="shared" si="0"/>
        <v>-0.22860907638783701</v>
      </c>
    </row>
    <row r="18" spans="1:4" x14ac:dyDescent="0.35">
      <c r="A18" t="s">
        <v>2</v>
      </c>
      <c r="B18">
        <v>-2.9836760326829598E-2</v>
      </c>
      <c r="C18">
        <v>6.8448435027690602E-2</v>
      </c>
      <c r="D18">
        <f t="shared" si="0"/>
        <v>-9.8285195354520197E-2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320E-ECC3-44F5-BE40-582080B7A03B}">
  <dimension ref="A1:AI20"/>
  <sheetViews>
    <sheetView zoomScale="115" zoomScaleNormal="115" workbookViewId="0">
      <pane xSplit="1" ySplit="3" topLeftCell="P4" activePane="bottomRight" state="frozen"/>
      <selection pane="topRight" activeCell="B1" sqref="B1"/>
      <selection pane="bottomLeft" activeCell="A3" sqref="A3"/>
      <selection pane="bottomRight" activeCell="AI21" sqref="AI21"/>
    </sheetView>
  </sheetViews>
  <sheetFormatPr defaultRowHeight="14.5" x14ac:dyDescent="0.35"/>
  <cols>
    <col min="3" max="3" width="17.90625" customWidth="1"/>
    <col min="4" max="4" width="15.81640625" customWidth="1"/>
    <col min="7" max="7" width="17.81640625" customWidth="1"/>
    <col min="8" max="8" width="16.26953125" customWidth="1"/>
    <col min="11" max="11" width="16.54296875" customWidth="1"/>
    <col min="12" max="12" width="16.453125" customWidth="1"/>
    <col min="15" max="15" width="15.7265625" customWidth="1"/>
    <col min="16" max="16" width="13.08984375" customWidth="1"/>
    <col min="19" max="19" width="12.54296875" customWidth="1"/>
    <col min="20" max="20" width="14.6328125" customWidth="1"/>
    <col min="31" max="31" width="13.90625" customWidth="1"/>
    <col min="35" max="35" width="12.54296875" customWidth="1"/>
  </cols>
  <sheetData>
    <row r="1" spans="1:35" x14ac:dyDescent="0.35">
      <c r="C1" s="8" t="s">
        <v>32</v>
      </c>
      <c r="D1" s="8"/>
      <c r="E1" s="8"/>
      <c r="G1" s="9" t="s">
        <v>36</v>
      </c>
      <c r="H1" s="9"/>
      <c r="I1" s="9"/>
      <c r="K1" s="10" t="s">
        <v>37</v>
      </c>
      <c r="L1" s="10"/>
      <c r="M1" s="10"/>
      <c r="O1" s="9" t="s">
        <v>38</v>
      </c>
      <c r="P1" s="9"/>
      <c r="Q1" s="9"/>
      <c r="S1" s="9" t="s">
        <v>39</v>
      </c>
      <c r="T1" s="9"/>
      <c r="U1" s="9"/>
      <c r="W1" s="11" t="s">
        <v>41</v>
      </c>
      <c r="X1" s="11"/>
      <c r="Y1" s="11"/>
      <c r="AA1" s="11" t="s">
        <v>43</v>
      </c>
      <c r="AB1" s="11"/>
      <c r="AC1" s="11"/>
    </row>
    <row r="2" spans="1:35" x14ac:dyDescent="0.35">
      <c r="C2" s="7" t="s">
        <v>26</v>
      </c>
      <c r="D2" s="7"/>
      <c r="E2" s="7"/>
      <c r="G2" s="7" t="s">
        <v>27</v>
      </c>
      <c r="H2" s="7"/>
      <c r="I2" s="7"/>
      <c r="J2" s="2"/>
      <c r="K2" s="7" t="s">
        <v>28</v>
      </c>
      <c r="L2" s="7"/>
      <c r="M2" s="7"/>
      <c r="N2" s="2"/>
      <c r="O2" s="7" t="s">
        <v>29</v>
      </c>
      <c r="P2" s="7"/>
      <c r="Q2" s="7"/>
      <c r="S2" s="7" t="s">
        <v>40</v>
      </c>
      <c r="T2" s="7"/>
      <c r="U2" s="7"/>
      <c r="W2" s="7" t="s">
        <v>42</v>
      </c>
      <c r="X2" s="7"/>
      <c r="Y2" s="7"/>
      <c r="Z2" s="2"/>
      <c r="AA2" s="7" t="s">
        <v>42</v>
      </c>
      <c r="AB2" s="7"/>
      <c r="AC2" s="7"/>
      <c r="AD2" s="2"/>
      <c r="AE2" s="2"/>
      <c r="AF2" s="2"/>
      <c r="AG2" s="2"/>
    </row>
    <row r="3" spans="1:35" s="1" customFormat="1" ht="29" x14ac:dyDescent="0.35">
      <c r="A3" s="1" t="s">
        <v>22</v>
      </c>
      <c r="C3" s="5" t="s">
        <v>33</v>
      </c>
      <c r="D3" s="5" t="s">
        <v>34</v>
      </c>
      <c r="E3" s="5" t="s">
        <v>35</v>
      </c>
      <c r="G3" s="5" t="s">
        <v>33</v>
      </c>
      <c r="H3" s="5" t="s">
        <v>34</v>
      </c>
      <c r="I3" s="5" t="s">
        <v>35</v>
      </c>
      <c r="K3" s="5" t="s">
        <v>33</v>
      </c>
      <c r="L3" s="5" t="s">
        <v>34</v>
      </c>
      <c r="M3" s="5" t="s">
        <v>35</v>
      </c>
      <c r="O3" s="5" t="s">
        <v>33</v>
      </c>
      <c r="P3" s="5" t="s">
        <v>34</v>
      </c>
      <c r="Q3" s="5" t="s">
        <v>35</v>
      </c>
      <c r="S3" s="5" t="s">
        <v>33</v>
      </c>
      <c r="T3" s="5" t="s">
        <v>34</v>
      </c>
      <c r="U3" s="5" t="s">
        <v>35</v>
      </c>
      <c r="W3" s="5" t="s">
        <v>33</v>
      </c>
      <c r="X3" s="5" t="s">
        <v>34</v>
      </c>
      <c r="Y3" s="5" t="s">
        <v>35</v>
      </c>
      <c r="AA3" s="5" t="s">
        <v>33</v>
      </c>
      <c r="AB3" s="5" t="s">
        <v>34</v>
      </c>
      <c r="AC3" s="5" t="s">
        <v>35</v>
      </c>
      <c r="AE3" s="6" t="s">
        <v>29</v>
      </c>
      <c r="AF3" s="6" t="s">
        <v>31</v>
      </c>
      <c r="AG3" s="6" t="s">
        <v>30</v>
      </c>
      <c r="AI3" s="6" t="s">
        <v>44</v>
      </c>
    </row>
    <row r="4" spans="1:35" x14ac:dyDescent="0.35">
      <c r="A4" t="s">
        <v>18</v>
      </c>
      <c r="C4" s="4">
        <v>0.40168306970290102</v>
      </c>
      <c r="D4" s="4">
        <v>0.40168306970290102</v>
      </c>
      <c r="E4" s="4">
        <f>C4-D4</f>
        <v>0</v>
      </c>
      <c r="G4">
        <v>-8.21940867312759E-2</v>
      </c>
      <c r="H4">
        <v>-8.21940867312759E-2</v>
      </c>
      <c r="I4" s="4">
        <f>G4-H4</f>
        <v>0</v>
      </c>
      <c r="J4" s="4"/>
      <c r="K4">
        <v>-8.0992848567109695E-3</v>
      </c>
      <c r="L4">
        <v>-8.0992848567109695E-3</v>
      </c>
      <c r="M4" s="4">
        <f>K4-L4</f>
        <v>0</v>
      </c>
      <c r="O4">
        <v>-0.14802611157274501</v>
      </c>
      <c r="P4">
        <v>-0.14802611157274501</v>
      </c>
      <c r="Q4" s="4">
        <f>O4-P4</f>
        <v>0</v>
      </c>
      <c r="S4">
        <v>-0.110305489658881</v>
      </c>
      <c r="T4">
        <v>-0.110305489658881</v>
      </c>
      <c r="U4" s="4">
        <f>S4-T4</f>
        <v>0</v>
      </c>
      <c r="W4">
        <v>0.171036490137769</v>
      </c>
      <c r="X4">
        <v>0.171036490137769</v>
      </c>
      <c r="Y4" s="4">
        <f>W4-X4</f>
        <v>0</v>
      </c>
      <c r="AA4">
        <v>0.10677013991119801</v>
      </c>
      <c r="AB4">
        <v>0.10677013991119801</v>
      </c>
      <c r="AC4" s="4">
        <f>AA4-AB4</f>
        <v>0</v>
      </c>
      <c r="AD4" s="4"/>
      <c r="AE4" s="4">
        <f>Q4</f>
        <v>0</v>
      </c>
      <c r="AF4" s="4">
        <f>AC4+Y4+U4+M4</f>
        <v>0</v>
      </c>
      <c r="AG4" s="4">
        <f t="shared" ref="AG4:AG20" si="0">E4+I4</f>
        <v>0</v>
      </c>
      <c r="AI4" s="3">
        <f t="shared" ref="AI4:AI20" si="1">E4+I4+M4+Q4+U4+Y4+AC4</f>
        <v>0</v>
      </c>
    </row>
    <row r="5" spans="1:35" x14ac:dyDescent="0.35">
      <c r="A5" t="s">
        <v>17</v>
      </c>
      <c r="C5" s="4">
        <v>0.113357457258702</v>
      </c>
      <c r="D5" s="4">
        <v>0.113357457258702</v>
      </c>
      <c r="E5" s="4">
        <f t="shared" ref="E5:E20" si="2">C5-D5</f>
        <v>0</v>
      </c>
      <c r="G5">
        <v>-5.91532101359378E-2</v>
      </c>
      <c r="H5">
        <v>-5.91532101359378E-2</v>
      </c>
      <c r="I5" s="4">
        <f t="shared" ref="I5:I20" si="3">G5-H5</f>
        <v>0</v>
      </c>
      <c r="J5" s="4"/>
      <c r="K5">
        <v>-0.13797271237506301</v>
      </c>
      <c r="L5">
        <v>-0.13797271237506301</v>
      </c>
      <c r="M5" s="4">
        <f t="shared" ref="M5:M20" si="4">K5-L5</f>
        <v>0</v>
      </c>
      <c r="O5">
        <v>0.29138772747964098</v>
      </c>
      <c r="P5">
        <v>0.29138772747964098</v>
      </c>
      <c r="Q5" s="4">
        <f t="shared" ref="Q5:Q20" si="5">O5-P5</f>
        <v>0</v>
      </c>
      <c r="S5">
        <v>-3.5337896134434499E-2</v>
      </c>
      <c r="T5">
        <v>-3.5337896134434499E-2</v>
      </c>
      <c r="U5" s="4">
        <f t="shared" ref="U5:U20" si="6">S5-T5</f>
        <v>0</v>
      </c>
      <c r="W5">
        <v>-8.0930364752975201E-2</v>
      </c>
      <c r="X5">
        <v>-8.0930364752975201E-2</v>
      </c>
      <c r="Y5" s="4">
        <f t="shared" ref="Y5:Y20" si="7">W5-X5</f>
        <v>0</v>
      </c>
      <c r="AA5">
        <v>0.246367721831767</v>
      </c>
      <c r="AB5">
        <v>0.246367721831767</v>
      </c>
      <c r="AC5" s="4">
        <f t="shared" ref="AC5:AC20" si="8">AA5-AB5</f>
        <v>0</v>
      </c>
      <c r="AD5" s="4"/>
      <c r="AE5" s="4">
        <f t="shared" ref="AE5:AE20" si="9">Q5</f>
        <v>0</v>
      </c>
      <c r="AF5" s="4">
        <f t="shared" ref="AF5:AF20" si="10">AC5+Y5+U5+M5</f>
        <v>0</v>
      </c>
      <c r="AG5" s="4">
        <f t="shared" si="0"/>
        <v>0</v>
      </c>
      <c r="AI5" s="3">
        <f t="shared" si="1"/>
        <v>0</v>
      </c>
    </row>
    <row r="6" spans="1:35" x14ac:dyDescent="0.35">
      <c r="A6" t="s">
        <v>16</v>
      </c>
      <c r="C6" s="4">
        <v>8.4390722113830099E-2</v>
      </c>
      <c r="D6" s="4">
        <v>8.4390722113830099E-2</v>
      </c>
      <c r="E6" s="4">
        <f t="shared" si="2"/>
        <v>0</v>
      </c>
      <c r="G6">
        <v>-7.1699905905479602E-2</v>
      </c>
      <c r="H6">
        <v>-7.1699905905479602E-2</v>
      </c>
      <c r="I6" s="4">
        <f t="shared" si="3"/>
        <v>0</v>
      </c>
      <c r="J6" s="4"/>
      <c r="K6">
        <v>-0.112668281418978</v>
      </c>
      <c r="L6">
        <v>-0.112668281418978</v>
      </c>
      <c r="M6" s="4">
        <f t="shared" si="4"/>
        <v>0</v>
      </c>
      <c r="O6">
        <v>7.0409518749265695E-2</v>
      </c>
      <c r="P6">
        <v>7.0409518749265695E-2</v>
      </c>
      <c r="Q6" s="4">
        <f t="shared" si="5"/>
        <v>0</v>
      </c>
      <c r="S6">
        <v>-0.20119765322797301</v>
      </c>
      <c r="T6">
        <v>-0.20119765322797301</v>
      </c>
      <c r="U6" s="4">
        <f t="shared" si="6"/>
        <v>0</v>
      </c>
      <c r="W6">
        <v>5.7480661108821697E-2</v>
      </c>
      <c r="X6">
        <v>5.7480661108821697E-2</v>
      </c>
      <c r="Y6" s="4">
        <f t="shared" si="7"/>
        <v>0</v>
      </c>
      <c r="AA6">
        <v>7.3497892891865396E-2</v>
      </c>
      <c r="AB6">
        <v>7.3497892891865396E-2</v>
      </c>
      <c r="AC6" s="4">
        <f t="shared" si="8"/>
        <v>0</v>
      </c>
      <c r="AD6" s="4"/>
      <c r="AE6" s="4">
        <f t="shared" si="9"/>
        <v>0</v>
      </c>
      <c r="AF6" s="4">
        <f t="shared" si="10"/>
        <v>0</v>
      </c>
      <c r="AG6" s="4">
        <f t="shared" si="0"/>
        <v>0</v>
      </c>
      <c r="AI6" s="3">
        <f t="shared" si="1"/>
        <v>0</v>
      </c>
    </row>
    <row r="7" spans="1:35" x14ac:dyDescent="0.35">
      <c r="A7" t="s">
        <v>15</v>
      </c>
      <c r="C7" s="4">
        <v>0.49002857232950098</v>
      </c>
      <c r="D7" s="4">
        <v>0.49002857232950098</v>
      </c>
      <c r="E7" s="4">
        <f t="shared" si="2"/>
        <v>0</v>
      </c>
      <c r="G7">
        <v>-6.0391933673744902E-2</v>
      </c>
      <c r="H7">
        <v>-6.0391933673744902E-2</v>
      </c>
      <c r="I7" s="4">
        <f t="shared" si="3"/>
        <v>0</v>
      </c>
      <c r="J7" s="4"/>
      <c r="K7">
        <v>-0.104470891080262</v>
      </c>
      <c r="L7">
        <v>-0.104470891080262</v>
      </c>
      <c r="M7" s="4">
        <f t="shared" si="4"/>
        <v>0</v>
      </c>
      <c r="O7">
        <v>-9.5656904722252106E-2</v>
      </c>
      <c r="P7">
        <v>-9.5656904722252106E-2</v>
      </c>
      <c r="Q7" s="4">
        <f t="shared" si="5"/>
        <v>0</v>
      </c>
      <c r="S7">
        <v>-1.5431334318346699E-2</v>
      </c>
      <c r="T7">
        <v>-1.5431334318346699E-2</v>
      </c>
      <c r="U7" s="4">
        <f t="shared" si="6"/>
        <v>0</v>
      </c>
      <c r="W7">
        <v>-0.139181652755761</v>
      </c>
      <c r="X7">
        <v>-0.139181652755761</v>
      </c>
      <c r="Y7" s="4">
        <f t="shared" si="7"/>
        <v>0</v>
      </c>
      <c r="AA7">
        <v>0.13055531739648699</v>
      </c>
      <c r="AB7">
        <v>0.13055531739648699</v>
      </c>
      <c r="AC7" s="4">
        <f t="shared" si="8"/>
        <v>0</v>
      </c>
      <c r="AD7" s="4"/>
      <c r="AE7" s="4">
        <f t="shared" si="9"/>
        <v>0</v>
      </c>
      <c r="AF7" s="4">
        <f t="shared" si="10"/>
        <v>0</v>
      </c>
      <c r="AG7" s="4">
        <f t="shared" si="0"/>
        <v>0</v>
      </c>
      <c r="AI7" s="3">
        <f t="shared" si="1"/>
        <v>0</v>
      </c>
    </row>
    <row r="8" spans="1:35" x14ac:dyDescent="0.35">
      <c r="A8" t="s">
        <v>14</v>
      </c>
      <c r="C8" s="4">
        <v>0.350634639232693</v>
      </c>
      <c r="D8" s="4">
        <v>0.350634639232693</v>
      </c>
      <c r="E8" s="4">
        <f t="shared" si="2"/>
        <v>0</v>
      </c>
      <c r="G8">
        <v>-4.6919376760871503E-2</v>
      </c>
      <c r="H8">
        <v>-4.6919376760871503E-2</v>
      </c>
      <c r="I8" s="4">
        <f t="shared" si="3"/>
        <v>0</v>
      </c>
      <c r="J8" s="4"/>
      <c r="K8">
        <v>-9.6103418388998496E-2</v>
      </c>
      <c r="L8">
        <v>-9.6103418388998496E-2</v>
      </c>
      <c r="M8" s="4">
        <f t="shared" si="4"/>
        <v>0</v>
      </c>
      <c r="O8">
        <v>0.12347864355657601</v>
      </c>
      <c r="P8">
        <v>0.12347864355657601</v>
      </c>
      <c r="Q8" s="4">
        <f t="shared" si="5"/>
        <v>0</v>
      </c>
      <c r="S8">
        <v>0.17944505351008599</v>
      </c>
      <c r="T8">
        <v>0.17944505351008599</v>
      </c>
      <c r="U8" s="4">
        <f t="shared" si="6"/>
        <v>0</v>
      </c>
      <c r="W8">
        <v>-0.10798661114378599</v>
      </c>
      <c r="X8">
        <v>-0.10798661114378599</v>
      </c>
      <c r="Y8" s="4">
        <f t="shared" si="7"/>
        <v>0</v>
      </c>
      <c r="AA8">
        <v>0.112651604454477</v>
      </c>
      <c r="AB8">
        <v>0.112651604454477</v>
      </c>
      <c r="AC8" s="4">
        <f t="shared" si="8"/>
        <v>0</v>
      </c>
      <c r="AD8" s="4"/>
      <c r="AE8" s="4">
        <f t="shared" si="9"/>
        <v>0</v>
      </c>
      <c r="AF8" s="4">
        <f t="shared" si="10"/>
        <v>0</v>
      </c>
      <c r="AG8" s="4">
        <f t="shared" si="0"/>
        <v>0</v>
      </c>
      <c r="AI8" s="3">
        <f t="shared" si="1"/>
        <v>0</v>
      </c>
    </row>
    <row r="9" spans="1:35" x14ac:dyDescent="0.35">
      <c r="A9" t="s">
        <v>13</v>
      </c>
      <c r="C9" s="4">
        <v>0.26769889286291498</v>
      </c>
      <c r="D9" s="4">
        <v>0.26769889286291498</v>
      </c>
      <c r="E9" s="4">
        <f t="shared" si="2"/>
        <v>0</v>
      </c>
      <c r="G9">
        <v>-4.3703023830997202E-2</v>
      </c>
      <c r="H9">
        <v>-4.3703023830997202E-2</v>
      </c>
      <c r="I9" s="4">
        <f t="shared" si="3"/>
        <v>0</v>
      </c>
      <c r="J9" s="4"/>
      <c r="K9">
        <v>-5.5729672642463098E-2</v>
      </c>
      <c r="L9">
        <v>-5.5729672642463098E-2</v>
      </c>
      <c r="M9" s="4">
        <f t="shared" si="4"/>
        <v>0</v>
      </c>
      <c r="O9">
        <v>0.40650570357638799</v>
      </c>
      <c r="P9">
        <v>0.40650570357638799</v>
      </c>
      <c r="Q9" s="4">
        <f t="shared" si="5"/>
        <v>0</v>
      </c>
      <c r="S9">
        <v>0.262851861848517</v>
      </c>
      <c r="T9">
        <v>0.262851861848517</v>
      </c>
      <c r="U9" s="4">
        <f t="shared" si="6"/>
        <v>0</v>
      </c>
      <c r="W9">
        <v>0.20674711777249699</v>
      </c>
      <c r="X9">
        <v>0.20674711777249699</v>
      </c>
      <c r="Y9" s="4">
        <f t="shared" si="7"/>
        <v>0</v>
      </c>
      <c r="AA9">
        <v>4.4619556639790899E-2</v>
      </c>
      <c r="AB9">
        <v>4.4619556639790899E-2</v>
      </c>
      <c r="AC9" s="4">
        <f t="shared" si="8"/>
        <v>0</v>
      </c>
      <c r="AD9" s="4"/>
      <c r="AE9" s="4">
        <f t="shared" si="9"/>
        <v>0</v>
      </c>
      <c r="AF9" s="4">
        <f t="shared" si="10"/>
        <v>0</v>
      </c>
      <c r="AG9" s="4">
        <f t="shared" si="0"/>
        <v>0</v>
      </c>
      <c r="AI9" s="3">
        <f t="shared" si="1"/>
        <v>0</v>
      </c>
    </row>
    <row r="10" spans="1:35" x14ac:dyDescent="0.35">
      <c r="A10" t="s">
        <v>12</v>
      </c>
      <c r="C10" s="4">
        <v>0.26578106401662999</v>
      </c>
      <c r="D10" s="4">
        <v>0.26578106401662999</v>
      </c>
      <c r="E10" s="4">
        <f t="shared" si="2"/>
        <v>0</v>
      </c>
      <c r="G10">
        <v>-3.4339266354473298E-2</v>
      </c>
      <c r="H10">
        <v>-3.4339266354473298E-2</v>
      </c>
      <c r="I10" s="4">
        <f t="shared" si="3"/>
        <v>0</v>
      </c>
      <c r="J10" s="4"/>
      <c r="K10">
        <v>-3.0672088360098701E-2</v>
      </c>
      <c r="L10">
        <v>-3.0672088360098701E-2</v>
      </c>
      <c r="M10" s="4">
        <f t="shared" si="4"/>
        <v>0</v>
      </c>
      <c r="O10">
        <v>0.133873781721287</v>
      </c>
      <c r="P10">
        <v>0.133873781721287</v>
      </c>
      <c r="Q10" s="4">
        <f t="shared" si="5"/>
        <v>0</v>
      </c>
      <c r="S10">
        <v>0.27225397073088298</v>
      </c>
      <c r="T10">
        <v>0.27225397073088298</v>
      </c>
      <c r="U10" s="4">
        <f t="shared" si="6"/>
        <v>0</v>
      </c>
      <c r="W10">
        <v>0.14998115565769099</v>
      </c>
      <c r="X10">
        <v>0.14998115565769099</v>
      </c>
      <c r="Y10" s="4">
        <f t="shared" si="7"/>
        <v>0</v>
      </c>
      <c r="AA10">
        <v>0.15091666254341701</v>
      </c>
      <c r="AB10">
        <v>0.15091666254341701</v>
      </c>
      <c r="AC10" s="4">
        <f t="shared" si="8"/>
        <v>0</v>
      </c>
      <c r="AD10" s="4"/>
      <c r="AE10" s="4">
        <f t="shared" si="9"/>
        <v>0</v>
      </c>
      <c r="AF10" s="4">
        <f t="shared" si="10"/>
        <v>0</v>
      </c>
      <c r="AG10" s="4">
        <f t="shared" si="0"/>
        <v>0</v>
      </c>
      <c r="AI10" s="3">
        <f t="shared" si="1"/>
        <v>0</v>
      </c>
    </row>
    <row r="11" spans="1:35" x14ac:dyDescent="0.35">
      <c r="A11" t="s">
        <v>11</v>
      </c>
      <c r="C11" s="4">
        <v>-6.8923507981179702E-2</v>
      </c>
      <c r="D11" s="4">
        <v>-6.8923507981179702E-2</v>
      </c>
      <c r="E11" s="4">
        <f t="shared" si="2"/>
        <v>0</v>
      </c>
      <c r="G11">
        <v>-4.2648201337320401E-3</v>
      </c>
      <c r="H11">
        <v>-4.2648201337320401E-3</v>
      </c>
      <c r="I11" s="4">
        <f t="shared" si="3"/>
        <v>0</v>
      </c>
      <c r="J11" s="4"/>
      <c r="K11">
        <v>-3.0099482833375799E-2</v>
      </c>
      <c r="L11">
        <v>-3.0099482833375799E-2</v>
      </c>
      <c r="M11" s="4">
        <f t="shared" si="4"/>
        <v>0</v>
      </c>
      <c r="O11">
        <v>-0.51945344220673595</v>
      </c>
      <c r="P11">
        <v>-0.51945344220673595</v>
      </c>
      <c r="Q11" s="4">
        <f t="shared" si="5"/>
        <v>0</v>
      </c>
      <c r="S11">
        <v>0.18178302235421301</v>
      </c>
      <c r="T11">
        <v>0.18178302235421301</v>
      </c>
      <c r="U11" s="4">
        <f t="shared" si="6"/>
        <v>0</v>
      </c>
      <c r="W11">
        <v>0.103999770504797</v>
      </c>
      <c r="X11">
        <v>0.103999770504797</v>
      </c>
      <c r="Y11" s="4">
        <f t="shared" si="7"/>
        <v>0</v>
      </c>
      <c r="AA11">
        <v>2.61260701306016E-3</v>
      </c>
      <c r="AB11">
        <v>2.61260701306016E-3</v>
      </c>
      <c r="AC11" s="4">
        <f t="shared" si="8"/>
        <v>0</v>
      </c>
      <c r="AD11" s="4"/>
      <c r="AE11" s="4">
        <f t="shared" si="9"/>
        <v>0</v>
      </c>
      <c r="AF11" s="4">
        <f t="shared" si="10"/>
        <v>0</v>
      </c>
      <c r="AG11" s="4">
        <f t="shared" si="0"/>
        <v>0</v>
      </c>
      <c r="AI11" s="3">
        <f t="shared" si="1"/>
        <v>0</v>
      </c>
    </row>
    <row r="12" spans="1:35" x14ac:dyDescent="0.35">
      <c r="A12" t="s">
        <v>10</v>
      </c>
      <c r="C12" s="4">
        <v>-0.49360351627841198</v>
      </c>
      <c r="D12" s="4">
        <v>-0.49360351627841198</v>
      </c>
      <c r="E12" s="4">
        <f t="shared" si="2"/>
        <v>0</v>
      </c>
      <c r="G12">
        <v>7.0579943690931299E-3</v>
      </c>
      <c r="H12">
        <v>7.0579943690931299E-3</v>
      </c>
      <c r="I12" s="4">
        <f t="shared" si="3"/>
        <v>0</v>
      </c>
      <c r="J12" s="4"/>
      <c r="K12">
        <v>-2.3738219379538301E-2</v>
      </c>
      <c r="L12">
        <v>-2.3738219379538301E-2</v>
      </c>
      <c r="M12" s="4">
        <f t="shared" si="4"/>
        <v>0</v>
      </c>
      <c r="O12">
        <v>-0.49659070787292697</v>
      </c>
      <c r="P12">
        <v>-0.49659070787292697</v>
      </c>
      <c r="Q12" s="4">
        <f t="shared" si="5"/>
        <v>0</v>
      </c>
      <c r="S12">
        <v>0.46724310870124203</v>
      </c>
      <c r="T12">
        <v>0.46724310870124203</v>
      </c>
      <c r="U12" s="4">
        <f t="shared" si="6"/>
        <v>0</v>
      </c>
      <c r="W12">
        <v>0.285016460293538</v>
      </c>
      <c r="X12">
        <v>0.285016460293538</v>
      </c>
      <c r="Y12" s="4">
        <f t="shared" si="7"/>
        <v>0</v>
      </c>
      <c r="AA12">
        <v>-2.99527412765348E-2</v>
      </c>
      <c r="AB12">
        <v>-2.99527412765348E-2</v>
      </c>
      <c r="AC12" s="4">
        <f t="shared" si="8"/>
        <v>0</v>
      </c>
      <c r="AD12" s="4"/>
      <c r="AE12" s="4">
        <f t="shared" si="9"/>
        <v>0</v>
      </c>
      <c r="AF12" s="4">
        <f t="shared" si="10"/>
        <v>0</v>
      </c>
      <c r="AG12" s="4">
        <f t="shared" si="0"/>
        <v>0</v>
      </c>
      <c r="AI12" s="3">
        <f t="shared" si="1"/>
        <v>0</v>
      </c>
    </row>
    <row r="13" spans="1:35" x14ac:dyDescent="0.35">
      <c r="A13" t="s">
        <v>9</v>
      </c>
      <c r="C13" s="4">
        <v>-0.225617648258191</v>
      </c>
      <c r="D13" s="4">
        <v>-0.414381626409276</v>
      </c>
      <c r="E13" s="4">
        <f t="shared" si="2"/>
        <v>0.188763978151085</v>
      </c>
      <c r="G13">
        <v>0.18570531800002099</v>
      </c>
      <c r="H13">
        <v>5.6885468426966001E-3</v>
      </c>
      <c r="I13" s="4">
        <f t="shared" si="3"/>
        <v>0.1800167711573244</v>
      </c>
      <c r="J13" s="4"/>
      <c r="K13">
        <v>-2.9638323362874801E-2</v>
      </c>
      <c r="L13">
        <v>9.9183752678764695E-5</v>
      </c>
      <c r="M13" s="4">
        <f t="shared" si="4"/>
        <v>-2.9737507115553567E-2</v>
      </c>
      <c r="O13">
        <v>1.83533240147938E-3</v>
      </c>
      <c r="P13">
        <v>-0.25672407182756202</v>
      </c>
      <c r="Q13" s="4">
        <f t="shared" si="5"/>
        <v>0.25855940422904139</v>
      </c>
      <c r="S13">
        <v>0.26976939094510399</v>
      </c>
      <c r="T13">
        <v>0.26976939094510399</v>
      </c>
      <c r="U13" s="4">
        <f t="shared" si="6"/>
        <v>0</v>
      </c>
      <c r="W13">
        <v>0.22450059422556301</v>
      </c>
      <c r="X13">
        <v>0.22450059422556301</v>
      </c>
      <c r="Y13" s="4">
        <f t="shared" si="7"/>
        <v>0</v>
      </c>
      <c r="AA13">
        <v>1.9343238159436999E-3</v>
      </c>
      <c r="AB13">
        <v>1.9343238159436999E-3</v>
      </c>
      <c r="AC13" s="4">
        <f t="shared" si="8"/>
        <v>0</v>
      </c>
      <c r="AD13" s="4"/>
      <c r="AE13" s="4">
        <f t="shared" si="9"/>
        <v>0.25855940422904139</v>
      </c>
      <c r="AF13" s="4">
        <f t="shared" si="10"/>
        <v>-2.9737507115553567E-2</v>
      </c>
      <c r="AG13" s="4">
        <f t="shared" si="0"/>
        <v>0.36878074930840943</v>
      </c>
      <c r="AI13" s="3">
        <f t="shared" si="1"/>
        <v>0.59760264642189731</v>
      </c>
    </row>
    <row r="14" spans="1:35" x14ac:dyDescent="0.35">
      <c r="A14" t="s">
        <v>8</v>
      </c>
      <c r="C14" s="4">
        <v>-0.18376482299076699</v>
      </c>
      <c r="D14" s="4">
        <v>-0.36899443706361301</v>
      </c>
      <c r="E14" s="4">
        <f t="shared" si="2"/>
        <v>0.18522961407284602</v>
      </c>
      <c r="G14">
        <v>6.5942042814213703E-2</v>
      </c>
      <c r="H14">
        <v>4.6392729159142497E-3</v>
      </c>
      <c r="I14" s="4">
        <f t="shared" si="3"/>
        <v>6.1302769898299456E-2</v>
      </c>
      <c r="J14" s="4"/>
      <c r="K14">
        <v>-2.4548492152382501E-2</v>
      </c>
      <c r="L14">
        <v>8.8049722765629596E-5</v>
      </c>
      <c r="M14" s="4">
        <f t="shared" si="4"/>
        <v>-2.4636541875148129E-2</v>
      </c>
      <c r="O14">
        <v>-0.40818665265298099</v>
      </c>
      <c r="P14">
        <v>-0.53890896042332004</v>
      </c>
      <c r="Q14" s="4">
        <f t="shared" si="5"/>
        <v>0.13072230777033905</v>
      </c>
      <c r="S14">
        <v>0.21821118449858201</v>
      </c>
      <c r="T14">
        <v>0.24209083473686599</v>
      </c>
      <c r="U14" s="4">
        <f t="shared" si="6"/>
        <v>-2.3879650238283978E-2</v>
      </c>
      <c r="W14">
        <v>0.22947080428754399</v>
      </c>
      <c r="X14">
        <v>0.22947080428754399</v>
      </c>
      <c r="Y14" s="4">
        <f t="shared" si="7"/>
        <v>0</v>
      </c>
      <c r="AA14">
        <v>2.0152617978004699E-2</v>
      </c>
      <c r="AB14">
        <v>2.0152617978004699E-2</v>
      </c>
      <c r="AC14" s="4">
        <f t="shared" si="8"/>
        <v>0</v>
      </c>
      <c r="AD14" s="4"/>
      <c r="AE14" s="4">
        <f t="shared" si="9"/>
        <v>0.13072230777033905</v>
      </c>
      <c r="AF14" s="4">
        <f t="shared" si="10"/>
        <v>-4.8516192113432111E-2</v>
      </c>
      <c r="AG14" s="4">
        <f t="shared" si="0"/>
        <v>0.24653238397114546</v>
      </c>
      <c r="AI14" s="3">
        <f t="shared" si="1"/>
        <v>0.32873849962805241</v>
      </c>
    </row>
    <row r="15" spans="1:35" x14ac:dyDescent="0.35">
      <c r="A15" t="s">
        <v>7</v>
      </c>
      <c r="C15" s="4">
        <v>-0.157889086807043</v>
      </c>
      <c r="D15" s="4">
        <v>-0.66605164662537797</v>
      </c>
      <c r="E15" s="4">
        <f t="shared" si="2"/>
        <v>0.50816255981833502</v>
      </c>
      <c r="G15">
        <v>6.3538307727449006E-2</v>
      </c>
      <c r="H15">
        <v>3.9148396399947801E-3</v>
      </c>
      <c r="I15" s="4">
        <f t="shared" si="3"/>
        <v>5.9623468087454223E-2</v>
      </c>
      <c r="J15" s="4"/>
      <c r="K15">
        <v>-2.2803875892856401E-2</v>
      </c>
      <c r="L15">
        <v>-1.7145974559277E-4</v>
      </c>
      <c r="M15" s="4">
        <f t="shared" si="4"/>
        <v>-2.2632416147263631E-2</v>
      </c>
      <c r="O15">
        <v>0.89353248872401803</v>
      </c>
      <c r="P15">
        <v>0.67078724466986295</v>
      </c>
      <c r="Q15" s="4">
        <f t="shared" si="5"/>
        <v>0.22274524405415508</v>
      </c>
      <c r="S15">
        <v>0.150319148575252</v>
      </c>
      <c r="T15">
        <v>0.17365917817197701</v>
      </c>
      <c r="U15" s="4">
        <f t="shared" si="6"/>
        <v>-2.3340029596725015E-2</v>
      </c>
      <c r="W15">
        <v>0.27300490883686801</v>
      </c>
      <c r="X15">
        <v>0.27300490883686801</v>
      </c>
      <c r="Y15" s="4">
        <f t="shared" si="7"/>
        <v>0</v>
      </c>
      <c r="AA15">
        <v>2.93317054991943E-2</v>
      </c>
      <c r="AB15">
        <v>2.93317054991943E-2</v>
      </c>
      <c r="AC15" s="4">
        <f t="shared" si="8"/>
        <v>0</v>
      </c>
      <c r="AD15" s="4"/>
      <c r="AE15" s="4">
        <f t="shared" si="9"/>
        <v>0.22274524405415508</v>
      </c>
      <c r="AF15" s="4">
        <f t="shared" si="10"/>
        <v>-4.5972445743988649E-2</v>
      </c>
      <c r="AG15" s="4">
        <f t="shared" si="0"/>
        <v>0.56778602790578925</v>
      </c>
      <c r="AI15" s="3">
        <f t="shared" si="1"/>
        <v>0.7445588262159557</v>
      </c>
    </row>
    <row r="16" spans="1:35" x14ac:dyDescent="0.35">
      <c r="A16" t="s">
        <v>6</v>
      </c>
      <c r="C16" s="4">
        <v>-0.108594546287687</v>
      </c>
      <c r="D16" s="4">
        <v>-0.60953638599864701</v>
      </c>
      <c r="E16" s="4">
        <f t="shared" si="2"/>
        <v>0.50094183971095996</v>
      </c>
      <c r="G16">
        <v>6.1199868765372603E-2</v>
      </c>
      <c r="H16">
        <v>3.0297408438642098E-3</v>
      </c>
      <c r="I16" s="4">
        <f t="shared" si="3"/>
        <v>5.8170127921508392E-2</v>
      </c>
      <c r="J16" s="4"/>
      <c r="K16">
        <v>-2.0976970786457501E-2</v>
      </c>
      <c r="L16">
        <v>-1.99755982666422E-4</v>
      </c>
      <c r="M16" s="4">
        <f t="shared" si="4"/>
        <v>-2.0777214803791078E-2</v>
      </c>
      <c r="O16">
        <v>2.5063031368209299E-2</v>
      </c>
      <c r="P16">
        <v>-0.10034773664140199</v>
      </c>
      <c r="Q16" s="4">
        <f t="shared" si="5"/>
        <v>0.12541076800961129</v>
      </c>
      <c r="S16">
        <v>-5.1940570295064298E-2</v>
      </c>
      <c r="T16">
        <v>-2.8984415025764598E-2</v>
      </c>
      <c r="U16" s="4">
        <f t="shared" si="6"/>
        <v>-2.29561552692997E-2</v>
      </c>
      <c r="W16">
        <v>0.186608335863096</v>
      </c>
      <c r="X16">
        <v>0.186608335863096</v>
      </c>
      <c r="Y16" s="4">
        <f t="shared" si="7"/>
        <v>0</v>
      </c>
      <c r="AA16">
        <v>3.1639762071453803E-2</v>
      </c>
      <c r="AB16">
        <v>3.1639762071453803E-2</v>
      </c>
      <c r="AC16" s="4">
        <f t="shared" si="8"/>
        <v>0</v>
      </c>
      <c r="AD16" s="4"/>
      <c r="AE16" s="4">
        <f t="shared" si="9"/>
        <v>0.12541076800961129</v>
      </c>
      <c r="AF16" s="4">
        <f t="shared" si="10"/>
        <v>-4.3733370073090777E-2</v>
      </c>
      <c r="AG16" s="4">
        <f t="shared" si="0"/>
        <v>0.5591119676324684</v>
      </c>
      <c r="AI16" s="3">
        <f t="shared" si="1"/>
        <v>0.6407893655689888</v>
      </c>
    </row>
    <row r="17" spans="1:35" x14ac:dyDescent="0.35">
      <c r="A17" t="s">
        <v>5</v>
      </c>
      <c r="C17" s="4">
        <v>-0.107081655066805</v>
      </c>
      <c r="D17" s="4">
        <v>-0.39356567686977401</v>
      </c>
      <c r="E17" s="4">
        <f t="shared" si="2"/>
        <v>0.286484021802969</v>
      </c>
      <c r="G17">
        <v>6.6290283313533593E-2</v>
      </c>
      <c r="H17">
        <v>9.9076530341269693E-3</v>
      </c>
      <c r="I17" s="4">
        <f t="shared" si="3"/>
        <v>5.6382630279406626E-2</v>
      </c>
      <c r="J17" s="4"/>
      <c r="K17">
        <v>-1.9015005404116901E-2</v>
      </c>
      <c r="L17">
        <v>-7.2697937252989599E-3</v>
      </c>
      <c r="M17" s="4">
        <f t="shared" si="4"/>
        <v>-1.1745211678817941E-2</v>
      </c>
      <c r="O17">
        <v>-3.9419277329213298E-2</v>
      </c>
      <c r="P17">
        <v>-0.109448577433232</v>
      </c>
      <c r="Q17" s="4">
        <f t="shared" si="5"/>
        <v>7.0029300104018699E-2</v>
      </c>
      <c r="S17">
        <v>7.60708969489272E-2</v>
      </c>
      <c r="T17">
        <v>9.8444559205724896E-2</v>
      </c>
      <c r="U17" s="4">
        <f t="shared" si="6"/>
        <v>-2.2373662256797697E-2</v>
      </c>
      <c r="W17">
        <v>0.16994915028806101</v>
      </c>
      <c r="X17">
        <v>0.16994915028806101</v>
      </c>
      <c r="Y17" s="4">
        <f t="shared" si="7"/>
        <v>0</v>
      </c>
      <c r="AA17">
        <v>5.6846796386391197E-3</v>
      </c>
      <c r="AB17">
        <v>5.6846796386391197E-3</v>
      </c>
      <c r="AC17" s="4">
        <f t="shared" si="8"/>
        <v>0</v>
      </c>
      <c r="AD17" s="4"/>
      <c r="AE17" s="4">
        <f t="shared" si="9"/>
        <v>7.0029300104018699E-2</v>
      </c>
      <c r="AF17" s="4">
        <f t="shared" si="10"/>
        <v>-3.4118873935615635E-2</v>
      </c>
      <c r="AG17" s="4">
        <f t="shared" si="0"/>
        <v>0.34286665208237566</v>
      </c>
      <c r="AI17" s="3">
        <f t="shared" si="1"/>
        <v>0.37877707825077872</v>
      </c>
    </row>
    <row r="18" spans="1:35" x14ac:dyDescent="0.35">
      <c r="A18" t="s">
        <v>4</v>
      </c>
      <c r="C18" s="4">
        <v>-8.53676104400794E-2</v>
      </c>
      <c r="D18" s="4">
        <v>-0.36820494568268503</v>
      </c>
      <c r="E18" s="4">
        <f t="shared" si="2"/>
        <v>0.28283733524260563</v>
      </c>
      <c r="G18">
        <v>7.2346729876637594E-2</v>
      </c>
      <c r="H18">
        <v>1.7342576763045799E-2</v>
      </c>
      <c r="I18" s="4">
        <f t="shared" si="3"/>
        <v>5.5004153113591796E-2</v>
      </c>
      <c r="J18" s="4"/>
      <c r="K18">
        <v>-1.2025895631619E-2</v>
      </c>
      <c r="L18">
        <v>-6.1435498535575596E-3</v>
      </c>
      <c r="M18" s="4">
        <f t="shared" si="4"/>
        <v>-5.8823457780614406E-3</v>
      </c>
      <c r="O18">
        <v>-0.134754265364598</v>
      </c>
      <c r="P18">
        <v>-0.12831973946505601</v>
      </c>
      <c r="Q18" s="4">
        <f t="shared" si="5"/>
        <v>-6.4345258995419929E-3</v>
      </c>
      <c r="S18">
        <v>0.124508999772188</v>
      </c>
      <c r="T18">
        <v>0.147039681283958</v>
      </c>
      <c r="U18" s="4">
        <f t="shared" si="6"/>
        <v>-2.2530681511769998E-2</v>
      </c>
      <c r="W18">
        <v>0.115959358088856</v>
      </c>
      <c r="X18">
        <v>0.15178952664165299</v>
      </c>
      <c r="Y18" s="4">
        <f t="shared" si="7"/>
        <v>-3.5830168552796984E-2</v>
      </c>
      <c r="AA18">
        <v>-7.1113242576673098E-3</v>
      </c>
      <c r="AB18">
        <v>1.03148126659045E-2</v>
      </c>
      <c r="AC18" s="4">
        <f t="shared" si="8"/>
        <v>-1.7426136923571811E-2</v>
      </c>
      <c r="AD18" s="4"/>
      <c r="AE18" s="4">
        <f t="shared" si="9"/>
        <v>-6.4345258995419929E-3</v>
      </c>
      <c r="AF18" s="4">
        <f t="shared" si="10"/>
        <v>-8.1669332766200239E-2</v>
      </c>
      <c r="AG18" s="4">
        <f t="shared" si="0"/>
        <v>0.33784148835619743</v>
      </c>
      <c r="AI18" s="3">
        <f t="shared" si="1"/>
        <v>0.24973762969045521</v>
      </c>
    </row>
    <row r="19" spans="1:35" x14ac:dyDescent="0.35">
      <c r="A19" t="s">
        <v>3</v>
      </c>
      <c r="C19" s="4">
        <v>-0.194568075207978</v>
      </c>
      <c r="D19" s="4">
        <v>-0.59741121178864398</v>
      </c>
      <c r="E19" s="4">
        <f t="shared" si="2"/>
        <v>0.40284313658066595</v>
      </c>
      <c r="G19">
        <v>7.9777253147179095E-2</v>
      </c>
      <c r="H19">
        <v>3.03083378270185E-2</v>
      </c>
      <c r="I19" s="4">
        <f t="shared" si="3"/>
        <v>4.9468915320160595E-2</v>
      </c>
      <c r="J19" s="4"/>
      <c r="K19">
        <v>-1.14904795380124E-2</v>
      </c>
      <c r="L19">
        <v>-5.6932828844747001E-3</v>
      </c>
      <c r="M19" s="4">
        <f t="shared" si="4"/>
        <v>-5.7971966535376998E-3</v>
      </c>
      <c r="O19">
        <v>-6.4067477393471503E-2</v>
      </c>
      <c r="P19">
        <v>-5.5391695306414503E-2</v>
      </c>
      <c r="Q19" s="4">
        <f t="shared" si="5"/>
        <v>-8.6757820870570004E-3</v>
      </c>
      <c r="S19">
        <v>0.118033903265312</v>
      </c>
      <c r="T19">
        <v>0.14017335810440201</v>
      </c>
      <c r="U19" s="4">
        <f t="shared" si="6"/>
        <v>-2.2139454839090009E-2</v>
      </c>
      <c r="W19">
        <v>0.107258849208799</v>
      </c>
      <c r="X19">
        <v>0.14297809365901801</v>
      </c>
      <c r="Y19" s="4">
        <f t="shared" si="7"/>
        <v>-3.5719244450219012E-2</v>
      </c>
      <c r="AA19">
        <v>-3.9361823659811801E-3</v>
      </c>
      <c r="AB19">
        <v>1.3428687091220101E-2</v>
      </c>
      <c r="AC19" s="4">
        <f t="shared" si="8"/>
        <v>-1.7364869457201282E-2</v>
      </c>
      <c r="AD19" s="4"/>
      <c r="AE19" s="4">
        <f t="shared" si="9"/>
        <v>-8.6757820870570004E-3</v>
      </c>
      <c r="AF19" s="4">
        <f t="shared" si="10"/>
        <v>-8.1020765400048003E-2</v>
      </c>
      <c r="AG19" s="4">
        <f t="shared" si="0"/>
        <v>0.45231205190082657</v>
      </c>
      <c r="AI19" s="3">
        <f t="shared" si="1"/>
        <v>0.36261550441372159</v>
      </c>
    </row>
    <row r="20" spans="1:35" x14ac:dyDescent="0.35">
      <c r="A20" t="s">
        <v>2</v>
      </c>
      <c r="C20" s="4">
        <v>-2.9836760326829598E-2</v>
      </c>
      <c r="D20" s="4">
        <v>-0.42474114525569501</v>
      </c>
      <c r="E20" s="4">
        <f t="shared" si="2"/>
        <v>0.39490438492886543</v>
      </c>
      <c r="G20">
        <v>8.8515383497522901E-2</v>
      </c>
      <c r="H20">
        <v>4.0534927781801303E-2</v>
      </c>
      <c r="I20" s="4">
        <f t="shared" si="3"/>
        <v>4.7980455715721598E-2</v>
      </c>
      <c r="J20" s="4"/>
      <c r="K20">
        <v>-9.5126456296744898E-3</v>
      </c>
      <c r="L20">
        <v>-5.2365158411973901E-3</v>
      </c>
      <c r="M20" s="4">
        <f t="shared" si="4"/>
        <v>-4.2761297884770996E-3</v>
      </c>
      <c r="O20">
        <v>-0.110727166879507</v>
      </c>
      <c r="P20">
        <v>-0.10225670887527</v>
      </c>
      <c r="Q20" s="4">
        <f t="shared" si="5"/>
        <v>-8.4704580042369998E-3</v>
      </c>
      <c r="S20">
        <v>0.12270904877794001</v>
      </c>
      <c r="T20">
        <v>0.14433533645716301</v>
      </c>
      <c r="U20" s="4">
        <f t="shared" si="6"/>
        <v>-2.1626287679223005E-2</v>
      </c>
      <c r="W20">
        <v>8.9169655673979206E-2</v>
      </c>
      <c r="X20">
        <v>0.12461745241312799</v>
      </c>
      <c r="Y20" s="4">
        <f t="shared" si="7"/>
        <v>-3.5447796739148787E-2</v>
      </c>
      <c r="AA20">
        <v>1.32367143557229E-3</v>
      </c>
      <c r="AB20">
        <v>1.8546012422012599E-2</v>
      </c>
      <c r="AC20" s="4">
        <f t="shared" si="8"/>
        <v>-1.7222340986440311E-2</v>
      </c>
      <c r="AD20" s="4"/>
      <c r="AE20" s="4">
        <f t="shared" si="9"/>
        <v>-8.4704580042369998E-3</v>
      </c>
      <c r="AF20" s="4">
        <f t="shared" si="10"/>
        <v>-7.8572555193289206E-2</v>
      </c>
      <c r="AG20" s="4">
        <f t="shared" si="0"/>
        <v>0.442884840644587</v>
      </c>
      <c r="AI20" s="3">
        <f t="shared" si="1"/>
        <v>0.35584182744706078</v>
      </c>
    </row>
  </sheetData>
  <mergeCells count="14">
    <mergeCell ref="W2:Y2"/>
    <mergeCell ref="AA2:AC2"/>
    <mergeCell ref="C1:E1"/>
    <mergeCell ref="C2:E2"/>
    <mergeCell ref="G1:I1"/>
    <mergeCell ref="K1:M1"/>
    <mergeCell ref="O1:Q1"/>
    <mergeCell ref="S1:U1"/>
    <mergeCell ref="W1:Y1"/>
    <mergeCell ref="AA1:AC1"/>
    <mergeCell ref="G2:I2"/>
    <mergeCell ref="K2:M2"/>
    <mergeCell ref="O2:Q2"/>
    <mergeCell ref="S2:U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c5d118-ba7b-4807-b700-df6f95cfff50">
      <Terms xmlns="http://schemas.microsoft.com/office/infopath/2007/PartnerControls"/>
    </lcf76f155ced4ddcb4097134ff3c332f>
    <TaxCatchAll xmlns="66951ee6-cd93-49c7-9437-e871b2a117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F3DB0CD4D844B918872BCED9B9CF9" ma:contentTypeVersion="18" ma:contentTypeDescription="Create a new document." ma:contentTypeScope="" ma:versionID="5ee0e719604df4a3ee65bb84ca5a499a">
  <xsd:schema xmlns:xsd="http://www.w3.org/2001/XMLSchema" xmlns:xs="http://www.w3.org/2001/XMLSchema" xmlns:p="http://schemas.microsoft.com/office/2006/metadata/properties" xmlns:ns2="cac5d118-ba7b-4807-b700-df6f95cfff50" xmlns:ns3="66951ee6-cd93-49c7-9437-e871b2a117d6" targetNamespace="http://schemas.microsoft.com/office/2006/metadata/properties" ma:root="true" ma:fieldsID="ad3cf4dc1b98083d674ec9be0a6789b0" ns2:_="" ns3:_="">
    <xsd:import namespace="cac5d118-ba7b-4807-b700-df6f95cfff50"/>
    <xsd:import namespace="66951ee6-cd93-49c7-9437-e871b2a11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5d118-ba7b-4807-b700-df6f95cff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eb4b2d4-9bb6-49a7-8a4b-ec3b3538a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1ee6-cd93-49c7-9437-e871b2a11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380a03-8396-48f4-ac19-20e9dcae480c}" ma:internalName="TaxCatchAll" ma:showField="CatchAllData" ma:web="66951ee6-cd93-49c7-9437-e871b2a11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0F811C-34C5-4989-B416-202DE3F946F2}">
  <ds:schemaRefs>
    <ds:schemaRef ds:uri="http://schemas.microsoft.com/office/2006/metadata/properties"/>
    <ds:schemaRef ds:uri="http://schemas.microsoft.com/office/infopath/2007/PartnerControls"/>
    <ds:schemaRef ds:uri="cac5d118-ba7b-4807-b700-df6f95cfff50"/>
    <ds:schemaRef ds:uri="66951ee6-cd93-49c7-9437-e871b2a117d6"/>
  </ds:schemaRefs>
</ds:datastoreItem>
</file>

<file path=customXml/itemProps2.xml><?xml version="1.0" encoding="utf-8"?>
<ds:datastoreItem xmlns:ds="http://schemas.openxmlformats.org/officeDocument/2006/customXml" ds:itemID="{7990855C-FECB-4955-AAEB-1137313C57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DFC429-3C56-4E14-AB75-AFEAE4098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Shutdown Effects</vt:lpstr>
      <vt:lpstr>Tariff Effects</vt:lpstr>
      <vt:lpstr>OBBBA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Parry</dc:creator>
  <cp:lastModifiedBy>Chase Parry</cp:lastModifiedBy>
  <dcterms:created xsi:type="dcterms:W3CDTF">2025-11-03T22:56:38Z</dcterms:created>
  <dcterms:modified xsi:type="dcterms:W3CDTF">2025-12-05T20:47:58Z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0x010100FA9F3DB0CD4D844B918872BCED9B9CF9</vt:lpwstr>
  </property>
  <property fmtid="{D5CDD505-2E9C-101B-9397-08002B2CF9AE}" pid="3" name="MediaServiceImageTags">
    <vt:lpwstr/>
  </property>
</Properties>
</file>