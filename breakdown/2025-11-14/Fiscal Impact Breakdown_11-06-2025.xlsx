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brookingsinstitution.sharepoint.com/sites/hutchinscenterteam/Shared Documents/Projects/Fiscal Impact/Fiscal Impact Breakdown/11-2025/"/>
    </mc:Choice>
  </mc:AlternateContent>
  <xr:revisionPtr revIDLastSave="94" documentId="8_{78ACC2BD-883D-4154-9CA0-9CE040933AAB}" xr6:coauthVersionLast="47" xr6:coauthVersionMax="47" xr10:uidLastSave="{624D97B0-05AD-4C4F-BEED-209EF1580C74}"/>
  <bookViews>
    <workbookView minimized="1" xWindow="160" yWindow="0" windowWidth="14400" windowHeight="11280" firstSheet="1" activeTab="3" xr2:uid="{3EC9A5B1-3779-4A4E-BEF3-C9F0233E4A17}"/>
  </bookViews>
  <sheets>
    <sheet name="FIM Breakdown_old" sheetId="2" state="hidden" r:id="rId1"/>
    <sheet name="Readme" sheetId="8" r:id="rId2"/>
    <sheet name="Table 1" sheetId="5" r:id="rId3"/>
    <sheet name="Table 2" sheetId="7" r:id="rId4"/>
    <sheet name="effects of obbba" sheetId="6" state="hidden" r:id="rId5"/>
  </sheets>
  <externalReferences>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7" l="1"/>
  <c r="H12" i="7"/>
  <c r="I11" i="7"/>
  <c r="H11" i="7"/>
  <c r="I10" i="7"/>
  <c r="H10" i="7"/>
  <c r="I9" i="7"/>
  <c r="H9" i="7"/>
  <c r="I8" i="7"/>
  <c r="H8" i="7"/>
  <c r="I7" i="7"/>
  <c r="H7" i="7"/>
  <c r="I6" i="7"/>
  <c r="H6" i="7"/>
  <c r="I5" i="7"/>
  <c r="H5" i="7"/>
  <c r="I4" i="7"/>
  <c r="H4" i="7"/>
  <c r="S12" i="5" l="1"/>
  <c r="S10" i="5"/>
  <c r="S8" i="5"/>
  <c r="S7" i="5"/>
  <c r="S6" i="5"/>
  <c r="S5" i="5"/>
  <c r="S11" i="5"/>
  <c r="S9" i="5"/>
  <c r="G13" i="5"/>
  <c r="G12" i="5"/>
  <c r="G11" i="5"/>
  <c r="G10" i="5"/>
  <c r="G9" i="5"/>
  <c r="G8" i="5"/>
  <c r="G7" i="5"/>
  <c r="G6" i="5"/>
  <c r="G5" i="5"/>
  <c r="S13" i="5"/>
  <c r="I13" i="5" l="1"/>
  <c r="D12" i="7" s="1"/>
  <c r="I7" i="5"/>
  <c r="D6" i="7" s="1"/>
  <c r="I8" i="5"/>
  <c r="D7" i="7" s="1"/>
  <c r="I6" i="5"/>
  <c r="D5" i="7" s="1"/>
  <c r="I12" i="5"/>
  <c r="D11" i="7" s="1"/>
  <c r="I11" i="5"/>
  <c r="D10" i="7" s="1"/>
  <c r="I10" i="5"/>
  <c r="D9" i="7" s="1"/>
  <c r="I5" i="5"/>
  <c r="D4" i="7" s="1"/>
  <c r="I9" i="5"/>
  <c r="D8" i="7" s="1"/>
  <c r="N13" i="5"/>
  <c r="F12" i="7" s="1"/>
  <c r="N11" i="5"/>
  <c r="F10" i="7" s="1"/>
  <c r="N12" i="5"/>
  <c r="F11" i="7" s="1"/>
  <c r="N10" i="5"/>
  <c r="F9" i="7" s="1"/>
  <c r="N9" i="5"/>
  <c r="F8" i="7" s="1"/>
  <c r="N8" i="5"/>
  <c r="F7" i="7" s="1"/>
  <c r="N7" i="5"/>
  <c r="F6" i="7" s="1"/>
  <c r="N6" i="5"/>
  <c r="F5" i="7" s="1"/>
  <c r="N5" i="5"/>
  <c r="F4" i="7" s="1"/>
  <c r="O6" i="5"/>
  <c r="G5" i="7" s="1"/>
  <c r="O7" i="5"/>
  <c r="G6" i="7" s="1"/>
  <c r="O8" i="5"/>
  <c r="G7" i="7" s="1"/>
  <c r="O9" i="5"/>
  <c r="G8" i="7" s="1"/>
  <c r="O10" i="5"/>
  <c r="G9" i="7" s="1"/>
  <c r="O11" i="5"/>
  <c r="G10" i="7" s="1"/>
  <c r="O12" i="5"/>
  <c r="G11" i="7" s="1"/>
  <c r="O13" i="5"/>
  <c r="G12" i="7" s="1"/>
  <c r="O5" i="5"/>
  <c r="G4" i="7" s="1"/>
  <c r="P5" i="5" l="1"/>
  <c r="F4" i="6" l="1"/>
  <c r="B4" i="6" s="1"/>
  <c r="J4" i="6"/>
  <c r="N4" i="6"/>
  <c r="R4" i="6"/>
  <c r="V4" i="6"/>
  <c r="Z4" i="6"/>
  <c r="AD4" i="6"/>
  <c r="F5" i="6"/>
  <c r="J5" i="6"/>
  <c r="B5" i="6" s="1"/>
  <c r="N5" i="6"/>
  <c r="R5" i="6"/>
  <c r="V5" i="6"/>
  <c r="Z5" i="6"/>
  <c r="AD5" i="6"/>
  <c r="F6" i="6"/>
  <c r="B6" i="6" s="1"/>
  <c r="J6" i="6"/>
  <c r="N6" i="6"/>
  <c r="R6" i="6"/>
  <c r="V6" i="6"/>
  <c r="Z6" i="6"/>
  <c r="AD6" i="6"/>
  <c r="F7" i="6"/>
  <c r="B7" i="6" s="1"/>
  <c r="J7" i="6"/>
  <c r="N7" i="6"/>
  <c r="R7" i="6"/>
  <c r="V7" i="6"/>
  <c r="Z7" i="6"/>
  <c r="AD7" i="6"/>
  <c r="F8" i="6"/>
  <c r="B8" i="6" s="1"/>
  <c r="J8" i="6"/>
  <c r="N8" i="6"/>
  <c r="R8" i="6"/>
  <c r="V8" i="6"/>
  <c r="Z8" i="6"/>
  <c r="AD8" i="6"/>
  <c r="F9" i="6"/>
  <c r="B9" i="6" s="1"/>
  <c r="J9" i="6"/>
  <c r="N9" i="6"/>
  <c r="R9" i="6"/>
  <c r="V9" i="6"/>
  <c r="Z9" i="6"/>
  <c r="AD9" i="6"/>
  <c r="F10" i="6"/>
  <c r="B10" i="6" s="1"/>
  <c r="J10" i="6"/>
  <c r="N10" i="6"/>
  <c r="R10" i="6"/>
  <c r="V10" i="6"/>
  <c r="Z10" i="6"/>
  <c r="AD10" i="6"/>
  <c r="F11" i="6"/>
  <c r="J11" i="6"/>
  <c r="B11" i="6" s="1"/>
  <c r="N11" i="6"/>
  <c r="R11" i="6"/>
  <c r="V11" i="6"/>
  <c r="Z11" i="6"/>
  <c r="AD11" i="6"/>
  <c r="F12" i="6"/>
  <c r="J12" i="6"/>
  <c r="B12" i="6" s="1"/>
  <c r="N12" i="6"/>
  <c r="R12" i="6"/>
  <c r="V12" i="6"/>
  <c r="Z12" i="6"/>
  <c r="AD12" i="6"/>
  <c r="F13" i="6"/>
  <c r="B13" i="6" s="1"/>
  <c r="J13" i="6"/>
  <c r="N13" i="6"/>
  <c r="R13" i="6"/>
  <c r="V13" i="6"/>
  <c r="Z13" i="6"/>
  <c r="AD13" i="6"/>
  <c r="F14" i="6"/>
  <c r="B14" i="6" s="1"/>
  <c r="J14" i="6"/>
  <c r="N14" i="6"/>
  <c r="R14" i="6"/>
  <c r="V14" i="6"/>
  <c r="Z14" i="6"/>
  <c r="AD14" i="6"/>
  <c r="F15" i="6"/>
  <c r="B15" i="6" s="1"/>
  <c r="J15" i="6"/>
  <c r="N15" i="6"/>
  <c r="R15" i="6"/>
  <c r="V15" i="6"/>
  <c r="Z15" i="6"/>
  <c r="AD15" i="6"/>
  <c r="F16" i="6"/>
  <c r="B16" i="6" s="1"/>
  <c r="J16" i="6"/>
  <c r="N16" i="6"/>
  <c r="R16" i="6"/>
  <c r="V16" i="6"/>
  <c r="Z16" i="6"/>
  <c r="AD16" i="6"/>
  <c r="F17" i="6"/>
  <c r="B17" i="6" s="1"/>
  <c r="J17" i="6"/>
  <c r="N17" i="6"/>
  <c r="R17" i="6"/>
  <c r="V17" i="6"/>
  <c r="Z17" i="6"/>
  <c r="AD17" i="6"/>
  <c r="F18" i="6"/>
  <c r="J18" i="6"/>
  <c r="B18" i="6" s="1"/>
  <c r="N18" i="6"/>
  <c r="R18" i="6"/>
  <c r="V18" i="6"/>
  <c r="Z18" i="6"/>
  <c r="AD18" i="6"/>
  <c r="F19" i="6"/>
  <c r="J19" i="6"/>
  <c r="B19" i="6" s="1"/>
  <c r="N19" i="6"/>
  <c r="R19" i="6"/>
  <c r="V19" i="6"/>
  <c r="Z19" i="6"/>
  <c r="AD19" i="6"/>
  <c r="F20" i="6"/>
  <c r="B20" i="6" s="1"/>
  <c r="J20" i="6"/>
  <c r="N20" i="6"/>
  <c r="R20" i="6"/>
  <c r="V20" i="6"/>
  <c r="Z20" i="6"/>
  <c r="AD20" i="6"/>
  <c r="T5" i="5" l="1"/>
  <c r="E4" i="7" s="1"/>
  <c r="C4" i="7" s="1"/>
  <c r="B4" i="7" s="1"/>
  <c r="X5" i="5"/>
  <c r="K5" i="5" s="1"/>
  <c r="P6" i="5"/>
  <c r="T6" i="5"/>
  <c r="X6" i="5"/>
  <c r="B6" i="5" s="1"/>
  <c r="P7" i="5"/>
  <c r="T7" i="5"/>
  <c r="X7" i="5"/>
  <c r="B7" i="5" s="1"/>
  <c r="P8" i="5"/>
  <c r="T8" i="5"/>
  <c r="X8" i="5"/>
  <c r="B8" i="5" s="1"/>
  <c r="P9" i="5"/>
  <c r="T9" i="5"/>
  <c r="X9" i="5"/>
  <c r="K9" i="5" s="1"/>
  <c r="P10" i="5"/>
  <c r="T10" i="5"/>
  <c r="X10" i="5"/>
  <c r="B10" i="5" s="1"/>
  <c r="P11" i="5"/>
  <c r="T11" i="5"/>
  <c r="X11" i="5"/>
  <c r="K11" i="5" s="1"/>
  <c r="P12" i="5"/>
  <c r="T12" i="5"/>
  <c r="X12" i="5"/>
  <c r="B12" i="5" s="1"/>
  <c r="P13" i="5"/>
  <c r="T13" i="5"/>
  <c r="X13" i="5"/>
  <c r="B13" i="5" s="1"/>
  <c r="O6" i="2"/>
  <c r="E10" i="7" l="1"/>
  <c r="C10" i="7" s="1"/>
  <c r="B10" i="7" s="1"/>
  <c r="E9" i="7"/>
  <c r="C9" i="7" s="1"/>
  <c r="B9" i="7" s="1"/>
  <c r="E8" i="7"/>
  <c r="C8" i="7" s="1"/>
  <c r="B8" i="7" s="1"/>
  <c r="E7" i="7"/>
  <c r="C7" i="7" s="1"/>
  <c r="B7" i="7" s="1"/>
  <c r="E6" i="7"/>
  <c r="C6" i="7" s="1"/>
  <c r="B6" i="7" s="1"/>
  <c r="E5" i="7"/>
  <c r="C5" i="7" s="1"/>
  <c r="B5" i="7" s="1"/>
  <c r="E12" i="7"/>
  <c r="C12" i="7" s="1"/>
  <c r="B12" i="7" s="1"/>
  <c r="E11" i="7"/>
  <c r="C11" i="7" s="1"/>
  <c r="B11" i="7" s="1"/>
  <c r="B11" i="5"/>
  <c r="K6" i="5"/>
  <c r="K13" i="5"/>
  <c r="B9" i="5"/>
  <c r="K8" i="5"/>
  <c r="K10" i="5"/>
  <c r="K12" i="5"/>
  <c r="B5" i="5"/>
  <c r="K7" i="5"/>
  <c r="F19" i="2"/>
  <c r="F20" i="2"/>
  <c r="F21" i="2"/>
  <c r="F22" i="2"/>
  <c r="F23" i="2"/>
  <c r="F24" i="2"/>
  <c r="F25" i="2"/>
  <c r="F26" i="2"/>
  <c r="F18" i="2"/>
  <c r="E18" i="2" l="1"/>
  <c r="D18" i="2"/>
  <c r="W5" i="2"/>
  <c r="J5" i="2" s="1"/>
  <c r="E19" i="2"/>
  <c r="E20" i="2"/>
  <c r="E21" i="2"/>
  <c r="E22" i="2"/>
  <c r="E23" i="2"/>
  <c r="E24" i="2"/>
  <c r="E25" i="2"/>
  <c r="E26" i="2"/>
  <c r="S6" i="2"/>
  <c r="S7" i="2"/>
  <c r="S8" i="2"/>
  <c r="S9" i="2"/>
  <c r="S10" i="2"/>
  <c r="S11" i="2"/>
  <c r="S12" i="2"/>
  <c r="S13" i="2"/>
  <c r="S5" i="2"/>
  <c r="W6" i="2"/>
  <c r="J6" i="2" s="1"/>
  <c r="W7" i="2"/>
  <c r="J7" i="2" s="1"/>
  <c r="W8" i="2"/>
  <c r="J8" i="2" s="1"/>
  <c r="W9" i="2"/>
  <c r="J9" i="2" s="1"/>
  <c r="W10" i="2"/>
  <c r="J10" i="2" s="1"/>
  <c r="W11" i="2"/>
  <c r="J11" i="2" s="1"/>
  <c r="W12" i="2"/>
  <c r="J12" i="2" s="1"/>
  <c r="W13" i="2"/>
  <c r="J13" i="2" s="1"/>
  <c r="O7" i="2"/>
  <c r="O8" i="2"/>
  <c r="O9" i="2"/>
  <c r="O10" i="2"/>
  <c r="O11" i="2"/>
  <c r="O12" i="2"/>
  <c r="O13" i="2"/>
  <c r="O5" i="2"/>
  <c r="D26" i="2" l="1"/>
  <c r="D25" i="2"/>
  <c r="D24" i="2"/>
  <c r="D23" i="2"/>
  <c r="D22" i="2"/>
  <c r="D21" i="2"/>
  <c r="D20" i="2"/>
  <c r="D19" i="2"/>
  <c r="H13" i="2"/>
  <c r="D13" i="2"/>
  <c r="B13" i="2" s="1"/>
  <c r="B26" i="2" s="1"/>
  <c r="H12" i="2"/>
  <c r="D12" i="2"/>
  <c r="B12" i="2" s="1"/>
  <c r="B25" i="2" s="1"/>
  <c r="C25" i="2" s="1"/>
  <c r="H11" i="2"/>
  <c r="D11" i="2"/>
  <c r="B11" i="2" s="1"/>
  <c r="B24" i="2" s="1"/>
  <c r="H10" i="2"/>
  <c r="D10" i="2"/>
  <c r="B10" i="2" s="1"/>
  <c r="B23" i="2" s="1"/>
  <c r="H9" i="2"/>
  <c r="D9" i="2"/>
  <c r="B9" i="2" s="1"/>
  <c r="B22" i="2" s="1"/>
  <c r="H8" i="2"/>
  <c r="D8" i="2"/>
  <c r="B8" i="2" s="1"/>
  <c r="B21" i="2" s="1"/>
  <c r="C21" i="2" s="1"/>
  <c r="H7" i="2"/>
  <c r="D7" i="2"/>
  <c r="B7" i="2" s="1"/>
  <c r="B20" i="2" s="1"/>
  <c r="C20" i="2" s="1"/>
  <c r="H6" i="2"/>
  <c r="D6" i="2"/>
  <c r="B6" i="2" s="1"/>
  <c r="B19" i="2" s="1"/>
  <c r="C19" i="2" s="1"/>
  <c r="H5" i="2"/>
  <c r="D5" i="2"/>
  <c r="B5" i="2" s="1"/>
  <c r="B18" i="2" s="1"/>
  <c r="C18" i="2" s="1"/>
  <c r="C22" i="2" l="1"/>
  <c r="C26" i="2"/>
  <c r="C23" i="2"/>
  <c r="C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tc={BCD4895A-DF1C-4923-BC63-6042C4578435}</author>
    <author>tc={B1AFDBA1-BB14-46EE-82A5-D948ACC75413}</author>
  </authors>
  <commentList>
    <comment ref="AA4" authorId="0" shapeId="0" xr:uid="{BCD4895A-DF1C-4923-BC63-6042C4578435}">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 ref="L5" authorId="1" shapeId="0" xr:uid="{B1AFDBA1-BB14-46EE-82A5-D948ACC75413}">
      <text>
        <t>[Threaded comment]
Your version of Excel allows you to read this threaded comment; however, any edits to it will get removed if the file is opened in a newer version of Excel. Learn more: https://go.microsoft.com/fwlink/?linkid=870924
Comment:
    Totals pasted include supply side IRA; neutral without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tc={0EB4E84F-3196-4E26-9835-AB6F121A42E0}</author>
  </authors>
  <commentList>
    <comment ref="AB4" authorId="0" shapeId="0" xr:uid="{0EB4E84F-3196-4E26-9835-AB6F121A42E0}">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List>
</comments>
</file>

<file path=xl/sharedStrings.xml><?xml version="1.0" encoding="utf-8"?>
<sst xmlns="http://schemas.openxmlformats.org/spreadsheetml/2006/main" count="173" uniqueCount="80">
  <si>
    <t>Table 1: Breakdown of FIM by component</t>
  </si>
  <si>
    <t>Total</t>
  </si>
  <si>
    <t>Purchases</t>
  </si>
  <si>
    <t>Taxes Transfers and Subsidies (includes supply side and uncertainty effects)</t>
  </si>
  <si>
    <t>Taxes</t>
  </si>
  <si>
    <t>Transfers</t>
  </si>
  <si>
    <t>Uncertainty</t>
  </si>
  <si>
    <t>Supply Side</t>
  </si>
  <si>
    <t xml:space="preserve">Purchases Total </t>
  </si>
  <si>
    <t>Subcomponents of Federal Purchases</t>
  </si>
  <si>
    <t xml:space="preserve">Taxes Total </t>
  </si>
  <si>
    <t>Subcomponents of Taxes</t>
  </si>
  <si>
    <t>Transfers Total</t>
  </si>
  <si>
    <t>Subcomponents of Transfers</t>
  </si>
  <si>
    <t>Uncertainty Total</t>
  </si>
  <si>
    <t>Supply Side Total</t>
  </si>
  <si>
    <t>Subcomponents of Supply Side</t>
  </si>
  <si>
    <t>Federal</t>
  </si>
  <si>
    <t>State and Local</t>
  </si>
  <si>
    <t>Federal Purchases OBBBA</t>
  </si>
  <si>
    <t>Federal  purchases Other</t>
  </si>
  <si>
    <t>Taxes OBBBA</t>
  </si>
  <si>
    <t>Tariffs</t>
  </si>
  <si>
    <t>Taxes Other</t>
  </si>
  <si>
    <t>Transfers OBBBA</t>
  </si>
  <si>
    <t>Transfers Other</t>
  </si>
  <si>
    <t>Tariff Uncertainty</t>
  </si>
  <si>
    <t>Shutdown Spillovers</t>
  </si>
  <si>
    <t>Student Loans</t>
  </si>
  <si>
    <t>IRA/CHIPS</t>
  </si>
  <si>
    <t>Supply Side Effects of OBBBA</t>
  </si>
  <si>
    <t>2025 Q2</t>
  </si>
  <si>
    <t>2025 Q3</t>
  </si>
  <si>
    <t>2025 Q4</t>
  </si>
  <si>
    <t>2026 Q1</t>
  </si>
  <si>
    <t>2026 Q2</t>
  </si>
  <si>
    <t>2026 Q3</t>
  </si>
  <si>
    <t>2026 Q4</t>
  </si>
  <si>
    <t>2027 Q1</t>
  </si>
  <si>
    <t>2027 Q2</t>
  </si>
  <si>
    <t>Table 2: Decomposing FIM into effects of OBBBA, other supply side effects, tariffs and tariff uncertainty, and underlying FIM</t>
  </si>
  <si>
    <t>Underlying FIM</t>
  </si>
  <si>
    <t>OBBBA</t>
  </si>
  <si>
    <t>Tariffs and Uncertainty</t>
  </si>
  <si>
    <t>IRA, CHIPS, Student Loans</t>
  </si>
  <si>
    <t>Gov shutdown</t>
  </si>
  <si>
    <t>This file presents data for the Hutchins Center Fiscal Impact Measure Breakdown.</t>
  </si>
  <si>
    <t>Table 1 breaks down the components of the FIM for the current quarter and our forecast for the next eight quarters. For purchases, it shows much is due to the One Big Beautiful Bill Act, to the government shutdown, and to underlying fiscal policy. For taxes and transfers, it shows how much is due to OBBBA, to tariffs, and to other factors.</t>
  </si>
  <si>
    <t>Table 2 decomposes FIM inputs into underlying factors (purchases and transfers), the effects of the One Big Beautiful Bill Act, the impacts of tariffs and uncertainty around them, effects of supply-side policies, and effects of the government shutdown that began on Oct. 1, 2025 for the current quarter and eight-quarter forecast.</t>
  </si>
  <si>
    <t>Federal Purchases, Government Shutdown</t>
  </si>
  <si>
    <t>Components of the Underlying FIM</t>
  </si>
  <si>
    <t>Underlying FIM Purchases</t>
  </si>
  <si>
    <t>Underlying FIM Net Transfers</t>
  </si>
  <si>
    <t>IRA, CHIPS and Student Loans</t>
  </si>
  <si>
    <t>Government shutdown</t>
  </si>
  <si>
    <t>federal_non_corporate_taxes</t>
  </si>
  <si>
    <t>federal_corporate_taxes</t>
  </si>
  <si>
    <t>federal_health_outlays</t>
  </si>
  <si>
    <t>state_health_outlays</t>
  </si>
  <si>
    <t>federal_student_loans</t>
  </si>
  <si>
    <t>federal_purchases</t>
  </si>
  <si>
    <t>federal_social_benefits</t>
  </si>
  <si>
    <t>Federal Noncorporate Taxes</t>
  </si>
  <si>
    <t>Federal Corporate Taxes</t>
  </si>
  <si>
    <t>Medicaid</t>
  </si>
  <si>
    <t>Federal Purchases</t>
  </si>
  <si>
    <t>Social Benefits</t>
  </si>
  <si>
    <t>date</t>
  </si>
  <si>
    <t xml:space="preserve">Total Effect </t>
  </si>
  <si>
    <t>With OBBBA</t>
  </si>
  <si>
    <t>Without OBBBA</t>
  </si>
  <si>
    <t>Effect</t>
  </si>
  <si>
    <t>2023 Q2</t>
  </si>
  <si>
    <t>2023 Q3</t>
  </si>
  <si>
    <t>2023 Q4</t>
  </si>
  <si>
    <t>2024 Q1</t>
  </si>
  <si>
    <t>2024 Q2</t>
  </si>
  <si>
    <t>2024 Q3</t>
  </si>
  <si>
    <t>2024 Q4</t>
  </si>
  <si>
    <t>2025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</si>
</sst>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sz val="11"/>
      <color theme="1"/>
      <name val="Calibri"/>
    </font>
    <font>
      <sz val="6"/>
      <color rgb="FFF8F8F2"/>
      <name val="Segoe UI"/>
    </font>
    <font>
      <sz val="11"/>
      <name val="Calibri"/>
      <family val="2"/>
      <scheme val="minor"/>
    </font>
    <font>
      <b/>
      <sz val="6"/>
      <color rgb="FFFFFFFF"/>
      <name val="Segoe UI"/>
    </font>
    <font>
      <sz val="6"/>
      <color rgb="FF000000"/>
      <name val="Segoe UI"/>
    </font>
    <font>
      <sz val="6"/>
      <color rgb="FFFFFFFF"/>
      <name val="Segoe UI"/>
    </font>
    <font>
      <sz val="11"/>
      <color rgb="FF000000"/>
      <name val="Calibri"/>
      <scheme val="minor"/>
    </font>
  </fonts>
  <fills count="5">
    <fill>
      <patternFill patternType="none"/>
    </fill>
    <fill>
      <patternFill patternType="gray125"/>
    </fill>
    <fill>
      <patternFill patternType="solid">
        <fgColor theme="6"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1">
    <xf numFmtId="0" fontId="0" fillId="0" borderId="0"/>
  </cellStyleXfs>
  <cellXfs count="58">
    <xf numFmtId="0" fontId="0" fillId="0" borderId="0" xfId="0"/>
    <xf numFmtId="2" fontId="0" fillId="0" borderId="0" xfId="0" applyNumberFormat="1"/>
    <xf numFmtId="0" fontId="0" fillId="0" borderId="0" xfId="0" applyAlignment="1">
      <alignment horizontal="center" wrapText="1"/>
    </xf>
    <xf numFmtId="0" fontId="2" fillId="0" borderId="0" xfId="0" applyFont="1"/>
    <xf numFmtId="0" fontId="1" fillId="0" borderId="0" xfId="0" applyFont="1" applyAlignment="1">
      <alignment horizontal="center" wrapText="1"/>
    </xf>
    <xf numFmtId="0" fontId="2" fillId="0" borderId="0" xfId="0" applyFont="1" applyAlignment="1">
      <alignment horizontal="center" wrapText="1"/>
    </xf>
    <xf numFmtId="2" fontId="2" fillId="0" borderId="0" xfId="0" applyNumberFormat="1" applyFont="1" applyAlignment="1">
      <alignment horizontal="center" vertical="center"/>
    </xf>
    <xf numFmtId="0" fontId="2" fillId="0" borderId="0" xfId="0" quotePrefix="1" applyFont="1" applyAlignment="1">
      <alignment horizontal="center" wrapText="1"/>
    </xf>
    <xf numFmtId="0" fontId="3" fillId="0" borderId="0" xfId="0" applyFont="1" applyAlignment="1">
      <alignment horizontal="center" wrapText="1"/>
    </xf>
    <xf numFmtId="0" fontId="1" fillId="0" borderId="0" xfId="0" applyFont="1" applyAlignment="1">
      <alignment wrapText="1"/>
    </xf>
    <xf numFmtId="2" fontId="1" fillId="0" borderId="0" xfId="0" applyNumberFormat="1" applyFont="1" applyAlignment="1">
      <alignment horizontal="center" vertical="center"/>
    </xf>
    <xf numFmtId="0" fontId="1" fillId="0" borderId="0" xfId="0" applyFont="1"/>
    <xf numFmtId="2" fontId="2" fillId="0" borderId="2" xfId="0" applyNumberFormat="1" applyFont="1" applyBorder="1" applyAlignment="1">
      <alignment horizontal="center" vertical="center"/>
    </xf>
    <xf numFmtId="2" fontId="2" fillId="0" borderId="3" xfId="0" applyNumberFormat="1" applyFont="1" applyBorder="1" applyAlignment="1">
      <alignment horizontal="center" vertical="center"/>
    </xf>
    <xf numFmtId="2" fontId="1" fillId="0" borderId="1" xfId="0" applyNumberFormat="1" applyFont="1" applyBorder="1" applyAlignment="1">
      <alignment horizontal="center"/>
    </xf>
    <xf numFmtId="0" fontId="4" fillId="0" borderId="0" xfId="0" applyFont="1" applyAlignment="1">
      <alignment horizontal="center" wrapText="1"/>
    </xf>
    <xf numFmtId="2" fontId="3" fillId="0" borderId="1" xfId="0" applyNumberFormat="1" applyFont="1" applyBorder="1" applyAlignment="1">
      <alignment horizontal="center" vertical="center"/>
    </xf>
    <xf numFmtId="0" fontId="1" fillId="0" borderId="0" xfId="0" applyFont="1" applyAlignment="1">
      <alignment vertical="center"/>
    </xf>
    <xf numFmtId="0" fontId="2" fillId="0" borderId="0" xfId="0" applyFont="1" applyAlignment="1">
      <alignment vertical="center"/>
    </xf>
    <xf numFmtId="2" fontId="2" fillId="0" borderId="0" xfId="0" applyNumberFormat="1" applyFont="1" applyAlignment="1">
      <alignment vertical="center"/>
    </xf>
    <xf numFmtId="0" fontId="0" fillId="0" borderId="0" xfId="0" applyAlignment="1">
      <alignment vertical="center"/>
    </xf>
    <xf numFmtId="0" fontId="0" fillId="0" borderId="0" xfId="0" applyAlignment="1">
      <alignment horizontal="center"/>
    </xf>
    <xf numFmtId="2" fontId="2" fillId="0" borderId="1" xfId="0" applyNumberFormat="1" applyFont="1" applyBorder="1" applyAlignment="1">
      <alignment horizontal="center" vertical="center"/>
    </xf>
    <xf numFmtId="2" fontId="2" fillId="0" borderId="0" xfId="0" applyNumberFormat="1" applyFont="1"/>
    <xf numFmtId="0" fontId="1" fillId="3" borderId="0" xfId="0" applyFont="1" applyFill="1" applyAlignment="1">
      <alignment horizontal="center" vertical="center" wrapText="1"/>
    </xf>
    <xf numFmtId="0" fontId="1" fillId="2" borderId="0" xfId="0" applyFont="1" applyFill="1" applyAlignment="1">
      <alignment horizontal="center" vertical="center" wrapText="1"/>
    </xf>
    <xf numFmtId="2" fontId="2" fillId="0" borderId="0" xfId="0" applyNumberFormat="1" applyFont="1" applyAlignment="1">
      <alignment horizontal="center" wrapText="1"/>
    </xf>
    <xf numFmtId="0" fontId="0" fillId="0" borderId="0" xfId="0" applyAlignment="1">
      <alignment wrapText="1"/>
    </xf>
    <xf numFmtId="0" fontId="5" fillId="0" borderId="0" xfId="0" applyFont="1" applyAlignment="1">
      <alignment horizontal="center"/>
    </xf>
    <xf numFmtId="0" fontId="0" fillId="0" borderId="0" xfId="0" applyAlignment="1">
      <alignment horizontal="center" vertical="center"/>
    </xf>
    <xf numFmtId="0" fontId="0" fillId="3" borderId="0" xfId="0" applyFill="1" applyAlignment="1">
      <alignment horizontal="center" wrapText="1"/>
    </xf>
    <xf numFmtId="2" fontId="0" fillId="0" borderId="0" xfId="0" applyNumberFormat="1" applyAlignment="1">
      <alignment horizontal="center"/>
    </xf>
    <xf numFmtId="0" fontId="6" fillId="0" borderId="0" xfId="0" applyFont="1" applyAlignment="1">
      <alignment horizontal="right" vertical="center"/>
    </xf>
    <xf numFmtId="2" fontId="7" fillId="0" borderId="0" xfId="0" applyNumberFormat="1" applyFont="1" applyAlignment="1">
      <alignment horizontal="center" vertical="center"/>
    </xf>
    <xf numFmtId="2" fontId="0" fillId="0" borderId="0" xfId="0" applyNumberFormat="1" applyAlignment="1">
      <alignment horizontal="center" wrapText="1"/>
    </xf>
    <xf numFmtId="2" fontId="8" fillId="0" borderId="0" xfId="0" applyNumberFormat="1" applyFont="1" applyAlignment="1">
      <alignment horizontal="center" vertical="center" wrapText="1"/>
    </xf>
    <xf numFmtId="2" fontId="9" fillId="0" borderId="0" xfId="0" applyNumberFormat="1" applyFont="1" applyAlignment="1">
      <alignment horizontal="center" vertical="center"/>
    </xf>
    <xf numFmtId="0" fontId="10" fillId="0" borderId="0" xfId="0" applyFont="1" applyAlignment="1">
      <alignment horizontal="right" vertical="center"/>
    </xf>
    <xf numFmtId="0" fontId="9" fillId="0" borderId="0" xfId="0" applyFont="1" applyAlignment="1">
      <alignment horizontal="right" vertical="center"/>
    </xf>
    <xf numFmtId="0" fontId="9" fillId="0" borderId="0" xfId="0" applyFont="1" applyAlignment="1">
      <alignment vertical="center"/>
    </xf>
    <xf numFmtId="0" fontId="11" fillId="0" borderId="0" xfId="0" applyFont="1" applyAlignment="1">
      <alignment wrapText="1"/>
    </xf>
    <xf numFmtId="0" fontId="11" fillId="0" borderId="0" xfId="0" applyFont="1"/>
    <xf numFmtId="0" fontId="11" fillId="0" borderId="0" xfId="0" applyFont="1" applyAlignment="1">
      <alignment horizontal="left" vertical="center" wrapText="1"/>
    </xf>
    <xf numFmtId="0" fontId="1" fillId="0" borderId="0" xfId="0" applyFont="1" applyAlignment="1">
      <alignment horizontal="center"/>
    </xf>
    <xf numFmtId="0" fontId="3" fillId="2" borderId="0" xfId="0" quotePrefix="1"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wrapText="1"/>
    </xf>
    <xf numFmtId="0" fontId="1" fillId="0" borderId="0" xfId="0" applyFont="1" applyAlignment="1">
      <alignment horizontal="left" vertical="center"/>
    </xf>
    <xf numFmtId="0" fontId="3" fillId="3" borderId="0" xfId="0" quotePrefix="1" applyFont="1" applyFill="1" applyAlignment="1">
      <alignment horizontal="center" vertical="center"/>
    </xf>
    <xf numFmtId="0" fontId="3" fillId="3" borderId="0" xfId="0" applyFont="1" applyFill="1" applyAlignment="1">
      <alignment horizontal="center" vertical="center"/>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2" fontId="8" fillId="0" borderId="0" xfId="0" applyNumberFormat="1" applyFont="1" applyAlignment="1">
      <alignment horizontal="center" vertical="center"/>
    </xf>
    <xf numFmtId="0" fontId="0" fillId="0" borderId="0" xfId="0" applyAlignment="1">
      <alignment horizontal="center"/>
    </xf>
    <xf numFmtId="0" fontId="0" fillId="4" borderId="0" xfId="0" applyFill="1" applyAlignment="1">
      <alignment horizontal="center" vertical="center"/>
    </xf>
    <xf numFmtId="0" fontId="0" fillId="0" borderId="0" xfId="0" applyAlignment="1">
      <alignment horizontal="center" wrapText="1"/>
    </xf>
    <xf numFmtId="0" fontId="5" fillId="0" borderId="0" xfId="0" applyFont="1"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Parry\Downloads\FIM\results\10-2025\beta\without_shutdown_deflators\differences.xlsx" TargetMode="External"/><Relationship Id="rId1" Type="http://schemas.openxmlformats.org/officeDocument/2006/relationships/externalLinkPath" Target="file:///C:\Users\CParry\Downloads\FIM\results\10-2025\beta\without_shutdown_deflators\differen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utdown Effects"/>
      <sheetName val="Tariff Effects"/>
      <sheetName val="OBBBA Effects"/>
    </sheetNames>
    <sheetDataSet>
      <sheetData sheetId="0" refreshError="1"/>
      <sheetData sheetId="1">
        <row r="10">
          <cell r="D10">
            <v>-0.27793256650730497</v>
          </cell>
        </row>
        <row r="11">
          <cell r="D11">
            <v>-0.40944270920465997</v>
          </cell>
        </row>
        <row r="12">
          <cell r="D12">
            <v>-0.358948559658543</v>
          </cell>
        </row>
        <row r="13">
          <cell r="D13">
            <v>-0.28507785389843898</v>
          </cell>
        </row>
        <row r="14">
          <cell r="D14">
            <v>-0.237330494878078</v>
          </cell>
        </row>
        <row r="15">
          <cell r="D15">
            <v>-0.23316633730465</v>
          </cell>
        </row>
        <row r="16">
          <cell r="D16">
            <v>-0.23056211526934639</v>
          </cell>
        </row>
        <row r="17">
          <cell r="D17">
            <v>-0.22860907638783701</v>
          </cell>
        </row>
        <row r="18">
          <cell r="D18">
            <v>-9.8285195354520197E-2</v>
          </cell>
        </row>
      </sheetData>
      <sheetData sheetId="2">
        <row r="12">
          <cell r="Q12">
            <v>0</v>
          </cell>
          <cell r="AF12">
            <v>0</v>
          </cell>
          <cell r="AG12">
            <v>0</v>
          </cell>
        </row>
        <row r="13">
          <cell r="Q13">
            <v>0.25855940422904139</v>
          </cell>
          <cell r="AF13">
            <v>-2.9737507115553567E-2</v>
          </cell>
          <cell r="AG13">
            <v>0.36878074930840943</v>
          </cell>
        </row>
        <row r="14">
          <cell r="Q14">
            <v>0.13072230777033905</v>
          </cell>
          <cell r="AF14">
            <v>-4.8516192113432111E-2</v>
          </cell>
          <cell r="AG14">
            <v>0.24653238397114546</v>
          </cell>
        </row>
        <row r="15">
          <cell r="Q15">
            <v>0.22274524405415508</v>
          </cell>
          <cell r="AF15">
            <v>-4.5972445743988649E-2</v>
          </cell>
          <cell r="AG15">
            <v>0.56778602790578925</v>
          </cell>
        </row>
        <row r="16">
          <cell r="Q16">
            <v>0.12541076800961129</v>
          </cell>
          <cell r="AF16">
            <v>-4.3733370073090777E-2</v>
          </cell>
          <cell r="AG16">
            <v>0.5591119676324684</v>
          </cell>
        </row>
        <row r="17">
          <cell r="Q17">
            <v>7.0029300104018699E-2</v>
          </cell>
          <cell r="AF17">
            <v>-3.4118873935615635E-2</v>
          </cell>
          <cell r="AG17">
            <v>0.34286665208237566</v>
          </cell>
        </row>
        <row r="18">
          <cell r="Q18">
            <v>-6.4345258995419929E-3</v>
          </cell>
          <cell r="AF18">
            <v>-8.1669332766200239E-2</v>
          </cell>
          <cell r="AG18">
            <v>0.33784148835619743</v>
          </cell>
        </row>
        <row r="19">
          <cell r="Q19">
            <v>-8.6757820870570004E-3</v>
          </cell>
          <cell r="AF19">
            <v>-8.1020765400048003E-2</v>
          </cell>
          <cell r="AG19">
            <v>0.45231205190082657</v>
          </cell>
        </row>
        <row r="20">
          <cell r="Q20">
            <v>-8.4704580042369998E-3</v>
          </cell>
          <cell r="AF20">
            <v>-7.8572555193289206E-2</v>
          </cell>
          <cell r="AG20">
            <v>0.442884840644587</v>
          </cell>
        </row>
      </sheetData>
    </sheetDataSet>
  </externalBook>
</externalLink>
</file>

<file path=xl/persons/person.xml><?xml version="1.0" encoding="utf-8"?>
<personList xmlns="http://schemas.microsoft.com/office/spreadsheetml/2018/threadedcomments" xmlns:x="http://schemas.openxmlformats.org/spreadsheetml/2006/main">
  <person displayName="Chase Parry" id="{275ABD8E-40B8-48F0-901A-B8923588D67B}" userId="S::CParry@brookings.edu::92d4af01-e2d2-4515-b156-ab4d4ddb52f9" providerId="AD"/>
  <person displayName="Sarah Ahmad" id="{AA6BAE1F-D1C2-4EC8-B691-186429C83211}" userId="S::SAhmad@brookings.edu::a57a138b-f8b3-487b-af77-be2c9712b9a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4" dT="2025-10-08T19:37:59.41" personId="{AA6BAE1F-D1C2-4EC8-B691-186429C83211}" id="{BCD4895A-DF1C-4923-BC63-6042C4578435}">
    <text>Supply side effects from investment incentives</text>
  </threadedComment>
  <threadedComment ref="L5" dT="2025-11-03T22:31:56.52" personId="{275ABD8E-40B8-48F0-901A-B8923588D67B}" id="{B1AFDBA1-BB14-46EE-82A5-D948ACC75413}">
    <text>Totals pasted include supply side IRA; neutral without</text>
  </threadedComment>
</ThreadedComments>
</file>

<file path=xl/threadedComments/threadedComment2.xml><?xml version="1.0" encoding="utf-8"?>
<ThreadedComments xmlns="http://schemas.microsoft.com/office/spreadsheetml/2018/threadedcomments" xmlns:x="http://schemas.openxmlformats.org/spreadsheetml/2006/main">
  <threadedComment ref="AB4" dT="2025-10-08T19:37:59.41" personId="{AA6BAE1F-D1C2-4EC8-B691-186429C83211}" id="{0EB4E84F-3196-4E26-9835-AB6F121A42E0}">
    <text>Supply side effects from investment incentives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260E-9266-47FF-B696-AA8EE43A1BF8}">
  <dimension ref="A1:AA28"/>
  <sheetViews>
    <sheetView zoomScale="85" zoomScaleNormal="85" workbookViewId="0">
      <pane xSplit="1" ySplit="4" topLeftCell="B5" activePane="bottomRight" state="frozen"/>
      <selection pane="topRight" activeCell="B1" sqref="B1"/>
      <selection pane="bottomLeft" activeCell="A5" sqref="A5"/>
      <selection pane="bottomRight" activeCell="M9" sqref="M9"/>
    </sheetView>
  </sheetViews>
  <sheetFormatPr defaultRowHeight="14.5" x14ac:dyDescent="0.35"/>
  <cols>
    <col min="1" max="1" width="15.81640625" customWidth="1"/>
    <col min="3" max="3" width="10.54296875" customWidth="1"/>
    <col min="4" max="4" width="10.453125" customWidth="1"/>
    <col min="5" max="6" width="11.81640625" customWidth="1"/>
    <col min="7" max="7" width="13" customWidth="1"/>
    <col min="8" max="8" width="12.7265625" customWidth="1"/>
    <col min="9" max="9" width="7.7265625" customWidth="1"/>
    <col min="10" max="10" width="31.1796875" customWidth="1"/>
    <col min="11" max="11" width="7.7265625" customWidth="1"/>
    <col min="12" max="12" width="10.26953125" customWidth="1"/>
    <col min="13" max="15" width="12.81640625" customWidth="1"/>
    <col min="16" max="16" width="9.1796875" customWidth="1"/>
    <col min="17" max="17" width="15.1796875" customWidth="1"/>
    <col min="18" max="18" width="14.81640625" customWidth="1"/>
    <col min="19" max="19" width="13.81640625" customWidth="1"/>
    <col min="21" max="21" width="22.26953125" customWidth="1"/>
    <col min="22" max="22" width="9.7265625" customWidth="1"/>
    <col min="23" max="23" width="13.1796875" customWidth="1"/>
    <col min="24" max="24" width="12.453125" customWidth="1"/>
    <col min="25" max="25" width="10.1796875" customWidth="1"/>
    <col min="26" max="26" width="14.453125" customWidth="1"/>
    <col min="27" max="27" width="11.7265625" customWidth="1"/>
  </cols>
  <sheetData>
    <row r="1" spans="1:27" ht="38.25" customHeight="1" x14ac:dyDescent="0.35">
      <c r="A1" s="17" t="s">
        <v>0</v>
      </c>
      <c r="B1" s="17"/>
      <c r="C1" s="17"/>
      <c r="D1" s="18"/>
      <c r="E1" s="18"/>
      <c r="F1" s="3"/>
      <c r="G1" s="3"/>
      <c r="H1" s="3"/>
      <c r="I1" s="3"/>
      <c r="J1" s="3"/>
      <c r="K1" s="3"/>
      <c r="L1" s="3"/>
      <c r="M1" s="3"/>
      <c r="N1" s="3"/>
      <c r="O1" s="3"/>
      <c r="P1" s="3"/>
      <c r="Q1" s="3"/>
      <c r="R1" s="3"/>
      <c r="S1" s="3"/>
    </row>
    <row r="2" spans="1:27" ht="49.5" customHeight="1" x14ac:dyDescent="0.35">
      <c r="A2" s="3"/>
      <c r="B2" s="24" t="s">
        <v>1</v>
      </c>
      <c r="C2" s="3"/>
      <c r="D2" s="44" t="s">
        <v>2</v>
      </c>
      <c r="E2" s="44"/>
      <c r="F2" s="44"/>
      <c r="G2" s="44"/>
      <c r="H2" s="44"/>
      <c r="I2" s="3"/>
      <c r="J2" s="24" t="s">
        <v>3</v>
      </c>
      <c r="K2" s="3"/>
      <c r="L2" s="44" t="s">
        <v>4</v>
      </c>
      <c r="M2" s="44"/>
      <c r="N2" s="44"/>
      <c r="O2" s="44"/>
      <c r="P2" s="9"/>
      <c r="Q2" s="44" t="s">
        <v>5</v>
      </c>
      <c r="R2" s="44"/>
      <c r="S2" s="44"/>
      <c r="U2" s="25" t="s">
        <v>6</v>
      </c>
      <c r="V2" s="9"/>
      <c r="W2" s="45" t="s">
        <v>7</v>
      </c>
      <c r="X2" s="45"/>
      <c r="Y2" s="45"/>
      <c r="Z2" s="45"/>
      <c r="AA2" s="45"/>
    </row>
    <row r="3" spans="1:27" ht="31.5" customHeight="1" x14ac:dyDescent="0.35">
      <c r="A3" s="3"/>
      <c r="B3" s="3"/>
      <c r="C3" s="3"/>
      <c r="D3" s="8" t="s">
        <v>8</v>
      </c>
      <c r="E3" s="3"/>
      <c r="F3" s="3"/>
      <c r="G3" s="46" t="s">
        <v>9</v>
      </c>
      <c r="H3" s="46"/>
      <c r="I3" s="3"/>
      <c r="J3" s="3"/>
      <c r="K3" s="3"/>
      <c r="L3" s="4" t="s">
        <v>10</v>
      </c>
      <c r="M3" s="43" t="s">
        <v>11</v>
      </c>
      <c r="N3" s="43"/>
      <c r="O3" s="43"/>
      <c r="P3" s="11"/>
      <c r="Q3" s="4" t="s">
        <v>12</v>
      </c>
      <c r="R3" s="43" t="s">
        <v>13</v>
      </c>
      <c r="S3" s="43"/>
      <c r="U3" s="4" t="s">
        <v>14</v>
      </c>
      <c r="W3" s="4" t="s">
        <v>15</v>
      </c>
      <c r="X3" s="43" t="s">
        <v>16</v>
      </c>
      <c r="Y3" s="43"/>
      <c r="Z3" s="43"/>
      <c r="AA3" s="43"/>
    </row>
    <row r="4" spans="1:27" s="2" customFormat="1" ht="46.5" x14ac:dyDescent="0.35">
      <c r="A4" s="5"/>
      <c r="B4" s="5"/>
      <c r="C4" s="5"/>
      <c r="E4" s="15" t="s">
        <v>17</v>
      </c>
      <c r="F4" s="5" t="s">
        <v>18</v>
      </c>
      <c r="G4" s="5" t="s">
        <v>19</v>
      </c>
      <c r="H4" s="5" t="s">
        <v>20</v>
      </c>
      <c r="I4" s="5"/>
      <c r="J4" s="5"/>
      <c r="K4" s="5"/>
      <c r="L4" s="8"/>
      <c r="M4" s="5" t="s">
        <v>21</v>
      </c>
      <c r="N4" s="5" t="s">
        <v>22</v>
      </c>
      <c r="O4" s="5" t="s">
        <v>23</v>
      </c>
      <c r="R4" s="5" t="s">
        <v>24</v>
      </c>
      <c r="S4" s="5" t="s">
        <v>25</v>
      </c>
      <c r="U4" s="2" t="s">
        <v>26</v>
      </c>
      <c r="X4" s="2" t="s">
        <v>27</v>
      </c>
      <c r="Y4" s="2" t="s">
        <v>28</v>
      </c>
      <c r="Z4" s="2" t="s">
        <v>29</v>
      </c>
      <c r="AA4" s="5" t="s">
        <v>30</v>
      </c>
    </row>
    <row r="5" spans="1:27" ht="15.5" x14ac:dyDescent="0.35">
      <c r="A5" s="3" t="s">
        <v>31</v>
      </c>
      <c r="B5" s="10">
        <f t="shared" ref="B5:B13" si="0">D5+L5+Q5+U5+W5</f>
        <v>-0.59669311832349403</v>
      </c>
      <c r="C5" s="6"/>
      <c r="D5" s="16">
        <f t="shared" ref="D5:D13" si="1">E5+F5</f>
        <v>-0.40608411849950998</v>
      </c>
      <c r="E5" s="12">
        <v>-0.94596316734547603</v>
      </c>
      <c r="F5" s="12">
        <v>0.53987904884596605</v>
      </c>
      <c r="G5" s="12">
        <v>0</v>
      </c>
      <c r="H5" s="13">
        <f t="shared" ref="H5:H13" si="2">E5-G5</f>
        <v>-0.94596316734547603</v>
      </c>
      <c r="I5" s="3"/>
      <c r="J5" s="16">
        <f>L5+Q5+U5+W5</f>
        <v>-0.19060899982398397</v>
      </c>
      <c r="K5" s="3"/>
      <c r="L5" s="16">
        <v>-0.33591118113824903</v>
      </c>
      <c r="M5" s="6">
        <v>0</v>
      </c>
      <c r="N5" s="6">
        <v>0</v>
      </c>
      <c r="O5" s="13">
        <f>L5-M5-N5</f>
        <v>-0.33591118113824903</v>
      </c>
      <c r="Q5" s="16">
        <v>0.28187120130205634</v>
      </c>
      <c r="R5" s="6">
        <v>0</v>
      </c>
      <c r="S5" s="13">
        <f>Q5-R5</f>
        <v>0.28187120130205634</v>
      </c>
      <c r="T5" s="1"/>
      <c r="U5" s="22">
        <v>-0.3</v>
      </c>
      <c r="W5" s="14">
        <f>X5+Y5+Z5+AA5</f>
        <v>0.16343098001220871</v>
      </c>
      <c r="X5" s="6">
        <v>0</v>
      </c>
      <c r="Y5" s="6">
        <v>-2.3738219379538301E-2</v>
      </c>
      <c r="Z5" s="6">
        <v>0.187169199391747</v>
      </c>
      <c r="AA5" s="13">
        <v>0</v>
      </c>
    </row>
    <row r="6" spans="1:27" ht="15.5" x14ac:dyDescent="0.35">
      <c r="A6" s="3" t="s">
        <v>32</v>
      </c>
      <c r="B6" s="10">
        <f t="shared" si="0"/>
        <v>0.11998801871945602</v>
      </c>
      <c r="C6" s="6"/>
      <c r="D6" s="16">
        <f t="shared" si="1"/>
        <v>-2.5846211955505002E-2</v>
      </c>
      <c r="E6" s="12">
        <v>0.110782082236574</v>
      </c>
      <c r="F6" s="12">
        <v>-0.136628294192079</v>
      </c>
      <c r="G6" s="12">
        <v>0.26333063607690299</v>
      </c>
      <c r="H6" s="13">
        <f t="shared" si="2"/>
        <v>-0.152548553840329</v>
      </c>
      <c r="I6" s="3"/>
      <c r="J6" s="16">
        <f t="shared" ref="J6:J13" si="3">L6+Q6+U6+W6</f>
        <v>0.14583423067496104</v>
      </c>
      <c r="K6" s="3"/>
      <c r="L6" s="16">
        <v>0.112330310625844</v>
      </c>
      <c r="M6" s="6">
        <v>0.36324487286492302</v>
      </c>
      <c r="N6" s="6">
        <v>-0.41325065079057494</v>
      </c>
      <c r="O6" s="13">
        <f>L6-M6-N6</f>
        <v>0.16233608855149589</v>
      </c>
      <c r="Q6" s="16">
        <v>0.18114458308923181</v>
      </c>
      <c r="R6" s="6">
        <v>-1.1450396002126995E-2</v>
      </c>
      <c r="S6" s="13">
        <f t="shared" ref="S6:S13" si="4">Q6-R6</f>
        <v>0.19259497909135881</v>
      </c>
      <c r="T6" s="1"/>
      <c r="U6" s="22">
        <v>-0.3</v>
      </c>
      <c r="W6" s="14">
        <f t="shared" ref="W6:W13" si="5">X6+Y6+Z6+AA6</f>
        <v>0.15235933695988518</v>
      </c>
      <c r="X6" s="6">
        <v>0</v>
      </c>
      <c r="Y6" s="6">
        <v>-2.9638323362874801E-2</v>
      </c>
      <c r="Z6" s="6">
        <v>0.18199766032275999</v>
      </c>
      <c r="AA6" s="13">
        <v>0</v>
      </c>
    </row>
    <row r="7" spans="1:27" ht="15.5" x14ac:dyDescent="0.35">
      <c r="A7" s="3" t="s">
        <v>33</v>
      </c>
      <c r="B7" s="10">
        <f t="shared" si="0"/>
        <v>-1.4936003824747242</v>
      </c>
      <c r="C7" s="6"/>
      <c r="D7" s="16">
        <f t="shared" si="1"/>
        <v>-0.7388726067924708</v>
      </c>
      <c r="E7" s="12">
        <v>-0.65524346818030399</v>
      </c>
      <c r="F7" s="12">
        <v>-8.3629138612166795E-2</v>
      </c>
      <c r="G7" s="12">
        <v>0.1427653498416542</v>
      </c>
      <c r="H7" s="13">
        <f t="shared" si="2"/>
        <v>-0.79800881802195822</v>
      </c>
      <c r="I7" s="3"/>
      <c r="J7" s="16">
        <f t="shared" si="3"/>
        <v>-0.75472777568225324</v>
      </c>
      <c r="K7" s="3"/>
      <c r="L7" s="16">
        <v>4.53797114197389E-2</v>
      </c>
      <c r="M7" s="6">
        <v>0.24139468556735838</v>
      </c>
      <c r="N7" s="6">
        <v>-0.49701579830466802</v>
      </c>
      <c r="O7" s="13">
        <f t="shared" ref="O7:O13" si="6">L7-M7-N7</f>
        <v>0.30100082415704854</v>
      </c>
      <c r="Q7" s="16">
        <v>0.35334347288123319</v>
      </c>
      <c r="R7" s="6">
        <v>-3.053325822356695E-2</v>
      </c>
      <c r="S7" s="13">
        <f t="shared" si="4"/>
        <v>0.38387673110480014</v>
      </c>
      <c r="T7" s="1"/>
      <c r="U7" s="22">
        <v>-0.3</v>
      </c>
      <c r="W7" s="14">
        <f t="shared" si="5"/>
        <v>-0.85345095998322529</v>
      </c>
      <c r="X7" s="6">
        <v>-0.9</v>
      </c>
      <c r="Y7" s="6">
        <v>-2.4548492152382501E-2</v>
      </c>
      <c r="Z7" s="6">
        <v>7.1097532169157304E-2</v>
      </c>
      <c r="AA7" s="13">
        <v>0</v>
      </c>
    </row>
    <row r="8" spans="1:27" ht="15.5" x14ac:dyDescent="0.35">
      <c r="A8" s="3" t="s">
        <v>34</v>
      </c>
      <c r="B8" s="10">
        <f t="shared" si="0"/>
        <v>2.0227275201111086</v>
      </c>
      <c r="C8" s="6"/>
      <c r="D8" s="16">
        <f t="shared" si="1"/>
        <v>0.70673922128647693</v>
      </c>
      <c r="E8" s="12">
        <v>0.84183310640180797</v>
      </c>
      <c r="F8" s="12">
        <v>-0.13509388511533099</v>
      </c>
      <c r="G8" s="12">
        <v>0.20092433237260948</v>
      </c>
      <c r="H8" s="13">
        <f t="shared" si="2"/>
        <v>0.64090877402919855</v>
      </c>
      <c r="I8" s="3"/>
      <c r="J8" s="16">
        <f t="shared" si="3"/>
        <v>1.3159882988246321</v>
      </c>
      <c r="K8" s="3"/>
      <c r="L8" s="16">
        <v>0.22128179875224799</v>
      </c>
      <c r="M8" s="6">
        <v>0.1974874953823535</v>
      </c>
      <c r="N8" s="6">
        <v>-0.28656035380030698</v>
      </c>
      <c r="O8" s="13">
        <f t="shared" si="6"/>
        <v>0.3103546571702015</v>
      </c>
      <c r="Q8" s="16">
        <v>0.14362804595379536</v>
      </c>
      <c r="R8" s="6">
        <v>-2.8154982582383026E-2</v>
      </c>
      <c r="S8" s="13">
        <f t="shared" si="4"/>
        <v>0.17178302853617838</v>
      </c>
      <c r="T8" s="1"/>
      <c r="U8" s="22">
        <v>-0.3</v>
      </c>
      <c r="W8" s="14">
        <f t="shared" si="5"/>
        <v>1.2510784541185886</v>
      </c>
      <c r="X8" s="6">
        <v>0.9</v>
      </c>
      <c r="Y8" s="6">
        <v>-2.2803875892856401E-2</v>
      </c>
      <c r="Z8" s="6">
        <v>0.313882330011445</v>
      </c>
      <c r="AA8" s="13">
        <v>0.06</v>
      </c>
    </row>
    <row r="9" spans="1:27" ht="15.5" x14ac:dyDescent="0.35">
      <c r="A9" s="3" t="s">
        <v>35</v>
      </c>
      <c r="B9" s="10">
        <f t="shared" si="0"/>
        <v>6.3982591271308786E-2</v>
      </c>
      <c r="C9" s="6"/>
      <c r="D9" s="16">
        <f t="shared" si="1"/>
        <v>-0.1728216674432782</v>
      </c>
      <c r="E9" s="12">
        <v>-5.9218055110206197E-2</v>
      </c>
      <c r="F9" s="12">
        <v>-0.11360361233307199</v>
      </c>
      <c r="G9" s="12">
        <v>0.12541076800961129</v>
      </c>
      <c r="H9" s="13">
        <f t="shared" si="2"/>
        <v>-0.18462882311981749</v>
      </c>
      <c r="I9" s="3"/>
      <c r="J9" s="16">
        <f t="shared" si="3"/>
        <v>0.23680425871458699</v>
      </c>
      <c r="K9" s="3"/>
      <c r="L9" s="16">
        <v>0.20865971156872001</v>
      </c>
      <c r="M9" s="6">
        <v>0.19341391849255174</v>
      </c>
      <c r="N9" s="6">
        <v>-0.24007189639510096</v>
      </c>
      <c r="O9" s="13">
        <f t="shared" si="6"/>
        <v>0.2553176894712692</v>
      </c>
      <c r="Q9" s="16">
        <v>-5.9715243159732506E-2</v>
      </c>
      <c r="R9" s="6">
        <v>-2.6046165216257397E-2</v>
      </c>
      <c r="S9" s="13">
        <f t="shared" si="4"/>
        <v>-3.3669077943475109E-2</v>
      </c>
      <c r="T9" s="1"/>
      <c r="U9" s="22">
        <v>-0.2</v>
      </c>
      <c r="W9" s="14">
        <f t="shared" si="5"/>
        <v>0.28785979030559949</v>
      </c>
      <c r="X9" s="6">
        <v>0</v>
      </c>
      <c r="Y9" s="6">
        <v>-2.0976970786457501E-2</v>
      </c>
      <c r="Z9" s="6">
        <v>0.24883676109205699</v>
      </c>
      <c r="AA9" s="13">
        <v>0.06</v>
      </c>
    </row>
    <row r="10" spans="1:27" ht="15.5" x14ac:dyDescent="0.35">
      <c r="A10" s="3" t="s">
        <v>36</v>
      </c>
      <c r="B10" s="10">
        <f t="shared" si="0"/>
        <v>-9.1736920575122616E-2</v>
      </c>
      <c r="C10" s="6"/>
      <c r="D10" s="16">
        <f t="shared" si="1"/>
        <v>-0.22708997999129601</v>
      </c>
      <c r="E10" s="12">
        <v>-7.3368861520993006E-2</v>
      </c>
      <c r="F10" s="12">
        <v>-0.15372111847030301</v>
      </c>
      <c r="G10" s="12">
        <v>7.0029300104018699E-2</v>
      </c>
      <c r="H10" s="13">
        <f t="shared" si="2"/>
        <v>-0.14339816162501171</v>
      </c>
      <c r="I10" s="3"/>
      <c r="J10" s="16">
        <f t="shared" si="3"/>
        <v>0.1353530594161734</v>
      </c>
      <c r="K10" s="3"/>
      <c r="L10" s="16">
        <v>5.5087851799672398E-2</v>
      </c>
      <c r="M10" s="6">
        <v>0.13390434460269141</v>
      </c>
      <c r="N10" s="6">
        <v>-0.23614384094467999</v>
      </c>
      <c r="O10" s="13">
        <f t="shared" si="6"/>
        <v>0.15732734814166099</v>
      </c>
      <c r="Q10" s="16">
        <v>0.16272556411919331</v>
      </c>
      <c r="R10" s="6">
        <v>-3.4076063758568295E-2</v>
      </c>
      <c r="S10" s="13">
        <f t="shared" si="4"/>
        <v>0.19680162787776162</v>
      </c>
      <c r="T10" s="1"/>
      <c r="U10" s="22">
        <v>-0.2</v>
      </c>
      <c r="W10" s="14">
        <f t="shared" si="5"/>
        <v>0.11753964349730769</v>
      </c>
      <c r="X10" s="6">
        <v>0</v>
      </c>
      <c r="Y10" s="6">
        <v>-1.9015005404116901E-2</v>
      </c>
      <c r="Z10" s="6">
        <v>7.6554648901424605E-2</v>
      </c>
      <c r="AA10" s="13">
        <v>0.06</v>
      </c>
    </row>
    <row r="11" spans="1:27" ht="15.5" x14ac:dyDescent="0.35">
      <c r="A11" s="3" t="s">
        <v>37</v>
      </c>
      <c r="B11" s="10">
        <f t="shared" si="0"/>
        <v>-0.28654626864725863</v>
      </c>
      <c r="C11" s="6"/>
      <c r="D11" s="16">
        <f t="shared" si="1"/>
        <v>-0.33323663532548597</v>
      </c>
      <c r="E11" s="12">
        <v>-0.19354294611066999</v>
      </c>
      <c r="F11" s="12">
        <v>-0.13969368921481601</v>
      </c>
      <c r="G11" s="12">
        <v>-6.4345258995419929E-3</v>
      </c>
      <c r="H11" s="13">
        <f t="shared" si="2"/>
        <v>-0.187108420211128</v>
      </c>
      <c r="I11" s="3"/>
      <c r="J11" s="16">
        <f t="shared" si="3"/>
        <v>4.6690366678227374E-2</v>
      </c>
      <c r="K11" s="3"/>
      <c r="L11" s="16">
        <v>-3.3915336615843603E-2</v>
      </c>
      <c r="M11" s="6">
        <v>0.13098652121873838</v>
      </c>
      <c r="N11" s="6">
        <v>-0.23639648698913851</v>
      </c>
      <c r="O11" s="13">
        <f t="shared" si="6"/>
        <v>7.149462915455651E-2</v>
      </c>
      <c r="Q11" s="16">
        <v>0.2858512293004884</v>
      </c>
      <c r="R11" s="6">
        <v>-8.1458626219619398E-2</v>
      </c>
      <c r="S11" s="13">
        <f t="shared" si="4"/>
        <v>0.36730985552010781</v>
      </c>
      <c r="T11" s="1"/>
      <c r="U11" s="22">
        <v>-0.2</v>
      </c>
      <c r="W11" s="14">
        <f t="shared" si="5"/>
        <v>-5.2455260064173947E-3</v>
      </c>
      <c r="X11" s="6">
        <v>0</v>
      </c>
      <c r="Y11" s="6">
        <v>-1.2025895631619E-2</v>
      </c>
      <c r="Z11" s="6">
        <v>-5.3219630374798398E-2</v>
      </c>
      <c r="AA11" s="13">
        <v>0.06</v>
      </c>
    </row>
    <row r="12" spans="1:27" ht="15.5" x14ac:dyDescent="0.35">
      <c r="A12" s="3" t="s">
        <v>38</v>
      </c>
      <c r="B12" s="10">
        <f t="shared" si="0"/>
        <v>-0.45015489508557199</v>
      </c>
      <c r="C12" s="6"/>
      <c r="D12" s="16">
        <f t="shared" si="1"/>
        <v>-0.26678026028479201</v>
      </c>
      <c r="E12" s="12">
        <v>-0.10882876740007601</v>
      </c>
      <c r="F12" s="12">
        <v>-0.15795149288471599</v>
      </c>
      <c r="G12" s="12">
        <v>-8.6757820870570004E-3</v>
      </c>
      <c r="H12" s="13">
        <f t="shared" si="2"/>
        <v>-0.100152985313019</v>
      </c>
      <c r="I12" s="3"/>
      <c r="J12" s="16">
        <f t="shared" si="3"/>
        <v>-0.18337463480078001</v>
      </c>
      <c r="K12" s="3"/>
      <c r="L12" s="16">
        <v>-0.35984559837077401</v>
      </c>
      <c r="M12" s="6">
        <v>0.16495006864960199</v>
      </c>
      <c r="N12" s="6">
        <v>-0.23727437576866897</v>
      </c>
      <c r="O12" s="13">
        <f t="shared" si="6"/>
        <v>-0.287521291251707</v>
      </c>
      <c r="Q12" s="16">
        <v>0.42820890559082941</v>
      </c>
      <c r="R12" s="6">
        <v>-8.0731783603113089E-2</v>
      </c>
      <c r="S12" s="13">
        <f t="shared" si="4"/>
        <v>0.50894068919394253</v>
      </c>
      <c r="T12" s="1"/>
      <c r="U12" s="22">
        <v>-0.1</v>
      </c>
      <c r="W12" s="14">
        <f t="shared" si="5"/>
        <v>-0.1517379420208354</v>
      </c>
      <c r="X12" s="6">
        <v>0</v>
      </c>
      <c r="Y12" s="6">
        <v>-1.14904795380124E-2</v>
      </c>
      <c r="Z12" s="6">
        <v>-0.20024746248282299</v>
      </c>
      <c r="AA12" s="13">
        <v>0.06</v>
      </c>
    </row>
    <row r="13" spans="1:27" ht="15.5" x14ac:dyDescent="0.35">
      <c r="A13" s="3" t="s">
        <v>39</v>
      </c>
      <c r="B13" s="10">
        <f t="shared" si="0"/>
        <v>-0.40695095551175497</v>
      </c>
      <c r="C13" s="6"/>
      <c r="D13" s="16">
        <f t="shared" si="1"/>
        <v>-0.30191172274618699</v>
      </c>
      <c r="E13" s="12">
        <v>-0.15456652081357</v>
      </c>
      <c r="F13" s="12">
        <v>-0.14734520193261699</v>
      </c>
      <c r="G13" s="12">
        <v>-8.4704580042369998E-3</v>
      </c>
      <c r="H13" s="13">
        <f t="shared" si="2"/>
        <v>-0.14609606280933302</v>
      </c>
      <c r="I13" s="3"/>
      <c r="J13" s="16">
        <f t="shared" si="3"/>
        <v>-0.10503923276556801</v>
      </c>
      <c r="K13" s="3"/>
      <c r="L13" s="16">
        <v>-0.27777126123557599</v>
      </c>
      <c r="M13" s="6">
        <v>0.16015426160592303</v>
      </c>
      <c r="N13" s="6">
        <v>-0.23458822247202096</v>
      </c>
      <c r="O13" s="13">
        <f t="shared" si="6"/>
        <v>-0.20333730036947803</v>
      </c>
      <c r="Q13" s="16">
        <v>0.53339589341598148</v>
      </c>
      <c r="R13" s="6">
        <v>-7.8244959621875207E-2</v>
      </c>
      <c r="S13" s="13">
        <f t="shared" si="4"/>
        <v>0.61164085303785665</v>
      </c>
      <c r="T13" s="1"/>
      <c r="U13" s="22">
        <v>-0.1</v>
      </c>
      <c r="W13" s="14">
        <f t="shared" si="5"/>
        <v>-0.26066386494597349</v>
      </c>
      <c r="X13" s="6">
        <v>0</v>
      </c>
      <c r="Y13" s="6">
        <v>-9.5126456296744898E-3</v>
      </c>
      <c r="Z13" s="6">
        <v>-0.31115121931629902</v>
      </c>
      <c r="AA13" s="13">
        <v>0.06</v>
      </c>
    </row>
    <row r="14" spans="1:27" ht="15.5" x14ac:dyDescent="0.35">
      <c r="A14" s="3"/>
      <c r="B14" s="3"/>
      <c r="C14" s="3"/>
      <c r="D14" s="6"/>
      <c r="E14" s="6"/>
      <c r="F14" s="6"/>
      <c r="G14" s="6"/>
      <c r="H14" s="6"/>
      <c r="I14" s="6"/>
      <c r="J14" s="6"/>
      <c r="K14" s="6"/>
      <c r="L14" s="6"/>
      <c r="M14" s="6"/>
      <c r="N14" s="6"/>
      <c r="O14" s="6"/>
      <c r="P14" s="6"/>
      <c r="Q14" s="6"/>
      <c r="R14" s="6"/>
      <c r="S14" s="6"/>
    </row>
    <row r="15" spans="1:27" ht="15.5" x14ac:dyDescent="0.35">
      <c r="A15" s="3"/>
      <c r="B15" s="3"/>
      <c r="C15" s="3"/>
      <c r="D15" s="3"/>
      <c r="E15" s="3"/>
      <c r="F15" s="3"/>
      <c r="G15" s="3"/>
      <c r="H15" s="3"/>
      <c r="I15" s="3"/>
      <c r="J15" s="3"/>
      <c r="K15" s="3"/>
      <c r="L15" s="3"/>
      <c r="M15" s="3"/>
      <c r="N15" s="3"/>
      <c r="O15" s="3"/>
      <c r="P15" s="3"/>
      <c r="Q15" s="3"/>
      <c r="R15" s="3"/>
      <c r="S15" s="3"/>
    </row>
    <row r="16" spans="1:27" s="20" customFormat="1" ht="36.75" customHeight="1" x14ac:dyDescent="0.35">
      <c r="A16" s="17" t="s">
        <v>40</v>
      </c>
      <c r="B16" s="17"/>
      <c r="C16" s="17"/>
      <c r="D16" s="18"/>
      <c r="E16" s="18"/>
      <c r="F16" s="18"/>
      <c r="G16" s="18"/>
      <c r="H16" s="19"/>
      <c r="I16" s="18"/>
      <c r="J16" s="18"/>
      <c r="K16" s="18"/>
      <c r="L16" s="18"/>
      <c r="M16" s="18"/>
      <c r="N16" s="18"/>
      <c r="O16" s="18"/>
      <c r="P16" s="18"/>
      <c r="Q16" s="18"/>
      <c r="R16" s="19"/>
      <c r="S16" s="18"/>
    </row>
    <row r="17" spans="1:20" s="2" customFormat="1" ht="46.5" x14ac:dyDescent="0.35">
      <c r="A17" s="5"/>
      <c r="B17" s="4" t="s">
        <v>1</v>
      </c>
      <c r="C17" s="7" t="s">
        <v>41</v>
      </c>
      <c r="D17" s="5" t="s">
        <v>42</v>
      </c>
      <c r="E17" s="5" t="s">
        <v>43</v>
      </c>
      <c r="F17" s="5" t="s">
        <v>44</v>
      </c>
      <c r="G17" s="2" t="s">
        <v>45</v>
      </c>
      <c r="I17" s="5"/>
      <c r="J17" s="5"/>
      <c r="K17" s="5"/>
      <c r="L17" s="5"/>
      <c r="M17" s="5"/>
      <c r="N17" s="26"/>
      <c r="O17" s="5"/>
      <c r="P17" s="5"/>
      <c r="Q17" s="5"/>
      <c r="R17" s="5"/>
      <c r="S17" s="5"/>
    </row>
    <row r="18" spans="1:20" ht="15.5" x14ac:dyDescent="0.35">
      <c r="A18" s="3" t="s">
        <v>31</v>
      </c>
      <c r="B18" s="10">
        <f>B5</f>
        <v>-0.59669311832349403</v>
      </c>
      <c r="C18" s="6">
        <f>B18-SUM(D18:G18)</f>
        <v>-0.46012409833570278</v>
      </c>
      <c r="D18" s="6">
        <f t="shared" ref="D18:D26" si="7">G5+M5+R5+AA5</f>
        <v>0</v>
      </c>
      <c r="E18" s="6">
        <f>N5+U5</f>
        <v>-0.3</v>
      </c>
      <c r="F18" s="6">
        <f>Y5+Z5+AA5</f>
        <v>0.16343098001220871</v>
      </c>
      <c r="I18" s="6"/>
      <c r="J18" s="6"/>
      <c r="K18" s="6"/>
      <c r="L18" s="6"/>
      <c r="M18" s="6"/>
      <c r="N18" s="6"/>
      <c r="O18" s="6"/>
      <c r="P18" s="6"/>
      <c r="Q18" s="6"/>
      <c r="R18" s="6"/>
      <c r="S18" s="6"/>
      <c r="T18" s="1"/>
    </row>
    <row r="19" spans="1:20" ht="15.5" x14ac:dyDescent="0.35">
      <c r="A19" s="3" t="s">
        <v>32</v>
      </c>
      <c r="B19" s="10">
        <f t="shared" ref="B19:B26" si="8">B6</f>
        <v>0.11998801871945602</v>
      </c>
      <c r="C19" s="6">
        <f t="shared" ref="C19:C26" si="9">B19-SUM(D19:G19)</f>
        <v>6.5754219610446696E-2</v>
      </c>
      <c r="D19" s="6">
        <f t="shared" si="7"/>
        <v>0.61512511293969907</v>
      </c>
      <c r="E19" s="6">
        <f t="shared" ref="E19:E26" si="10">N6+U6</f>
        <v>-0.71325065079057492</v>
      </c>
      <c r="F19" s="6">
        <f t="shared" ref="F19:F26" si="11">Y6+Z6+AA6</f>
        <v>0.15235933695988518</v>
      </c>
      <c r="I19" s="6"/>
      <c r="J19" s="6"/>
      <c r="K19" s="6"/>
      <c r="L19" s="6"/>
      <c r="M19" s="6"/>
      <c r="N19" s="6"/>
      <c r="O19" s="6"/>
      <c r="P19" s="6"/>
      <c r="Q19" s="6"/>
      <c r="R19" s="6"/>
      <c r="S19" s="6"/>
      <c r="T19" s="1"/>
    </row>
    <row r="20" spans="1:20" ht="15.5" x14ac:dyDescent="0.35">
      <c r="A20" s="3" t="s">
        <v>33</v>
      </c>
      <c r="B20" s="10">
        <f t="shared" si="8"/>
        <v>-1.4936003824747242</v>
      </c>
      <c r="C20" s="6">
        <f>B20-SUM(D20:G20)</f>
        <v>0.40323959862772352</v>
      </c>
      <c r="D20" s="6">
        <f t="shared" si="7"/>
        <v>0.35362677718544561</v>
      </c>
      <c r="E20" s="6">
        <f t="shared" si="10"/>
        <v>-0.79701579830466796</v>
      </c>
      <c r="F20" s="6">
        <f t="shared" si="11"/>
        <v>4.6549040016774804E-2</v>
      </c>
      <c r="G20">
        <v>-1.5</v>
      </c>
      <c r="I20" s="6"/>
      <c r="J20" s="6"/>
      <c r="K20" s="6"/>
      <c r="L20" s="3"/>
      <c r="M20" s="6"/>
      <c r="N20" s="6"/>
      <c r="O20" s="6"/>
      <c r="P20" s="6"/>
      <c r="Q20" s="6"/>
      <c r="R20" s="6"/>
      <c r="S20" s="6"/>
      <c r="T20" s="1"/>
    </row>
    <row r="21" spans="1:20" ht="15.5" x14ac:dyDescent="0.35">
      <c r="A21" s="3" t="s">
        <v>34</v>
      </c>
      <c r="B21" s="10">
        <f t="shared" si="8"/>
        <v>2.0227275201111086</v>
      </c>
      <c r="C21" s="6">
        <f t="shared" si="9"/>
        <v>0.32795257462024718</v>
      </c>
      <c r="D21" s="6">
        <f t="shared" si="7"/>
        <v>0.43025684517257995</v>
      </c>
      <c r="E21" s="6">
        <f t="shared" si="10"/>
        <v>-0.58656035380030702</v>
      </c>
      <c r="F21" s="6">
        <f t="shared" si="11"/>
        <v>0.35107845411858857</v>
      </c>
      <c r="G21">
        <v>1.5</v>
      </c>
      <c r="I21" s="6"/>
      <c r="J21" s="6"/>
      <c r="K21" s="6"/>
      <c r="L21" s="6"/>
      <c r="M21" s="6"/>
      <c r="N21" s="6"/>
      <c r="O21" s="6"/>
      <c r="P21" s="6"/>
      <c r="Q21" s="6"/>
      <c r="R21" s="6"/>
      <c r="S21" s="6"/>
      <c r="T21" s="1"/>
    </row>
    <row r="22" spans="1:20" ht="15.5" x14ac:dyDescent="0.35">
      <c r="A22" s="3" t="s">
        <v>35</v>
      </c>
      <c r="B22" s="10">
        <f t="shared" si="8"/>
        <v>6.3982591271308786E-2</v>
      </c>
      <c r="C22" s="6">
        <f t="shared" si="9"/>
        <v>-0.13658382392509533</v>
      </c>
      <c r="D22" s="6">
        <f t="shared" si="7"/>
        <v>0.35277852128590559</v>
      </c>
      <c r="E22" s="6">
        <f t="shared" si="10"/>
        <v>-0.44007189639510097</v>
      </c>
      <c r="F22" s="6">
        <f t="shared" si="11"/>
        <v>0.28785979030559949</v>
      </c>
      <c r="I22" s="6"/>
      <c r="J22" s="6"/>
      <c r="K22" s="6"/>
      <c r="L22" s="6"/>
      <c r="M22" s="6"/>
      <c r="N22" s="6"/>
      <c r="O22" s="6"/>
      <c r="P22" s="6"/>
      <c r="Q22" s="6"/>
      <c r="R22" s="6"/>
      <c r="S22" s="6"/>
      <c r="T22" s="1"/>
    </row>
    <row r="23" spans="1:20" ht="15.5" x14ac:dyDescent="0.35">
      <c r="A23" s="3" t="s">
        <v>36</v>
      </c>
      <c r="B23" s="10">
        <f t="shared" si="8"/>
        <v>-9.1736920575122616E-2</v>
      </c>
      <c r="C23" s="6">
        <f>B23-SUM(D23:G23)</f>
        <v>-2.9903040758920973E-3</v>
      </c>
      <c r="D23" s="6">
        <f t="shared" si="7"/>
        <v>0.22985758094814179</v>
      </c>
      <c r="E23" s="6">
        <f t="shared" si="10"/>
        <v>-0.43614384094468001</v>
      </c>
      <c r="F23" s="6">
        <f t="shared" si="11"/>
        <v>0.11753964349730769</v>
      </c>
      <c r="I23" s="6"/>
      <c r="J23" s="6"/>
      <c r="K23" s="6"/>
      <c r="L23" s="6"/>
      <c r="M23" s="6"/>
      <c r="N23" s="6"/>
      <c r="O23" s="6"/>
      <c r="P23" s="6"/>
      <c r="Q23" s="6"/>
      <c r="R23" s="6"/>
      <c r="S23" s="6"/>
      <c r="T23" s="1"/>
    </row>
    <row r="24" spans="1:20" ht="15.5" x14ac:dyDescent="0.35">
      <c r="A24" s="3" t="s">
        <v>37</v>
      </c>
      <c r="B24" s="10">
        <f t="shared" si="8"/>
        <v>-0.28654626864725863</v>
      </c>
      <c r="C24" s="6">
        <f t="shared" si="9"/>
        <v>5.2002375248720312E-2</v>
      </c>
      <c r="D24" s="6">
        <f t="shared" si="7"/>
        <v>0.10309336909957699</v>
      </c>
      <c r="E24" s="6">
        <f t="shared" si="10"/>
        <v>-0.43639648698913852</v>
      </c>
      <c r="F24" s="6">
        <f t="shared" si="11"/>
        <v>-5.2455260064173947E-3</v>
      </c>
      <c r="I24" s="6"/>
      <c r="J24" s="6"/>
      <c r="K24" s="6"/>
      <c r="L24" s="6"/>
      <c r="M24" s="6"/>
      <c r="N24" s="6"/>
      <c r="O24" s="6"/>
      <c r="P24" s="6"/>
      <c r="Q24" s="6"/>
      <c r="R24" s="6"/>
      <c r="S24" s="6"/>
      <c r="T24" s="1"/>
    </row>
    <row r="25" spans="1:20" ht="15.5" x14ac:dyDescent="0.35">
      <c r="A25" s="3" t="s">
        <v>38</v>
      </c>
      <c r="B25" s="10">
        <f t="shared" si="8"/>
        <v>-0.45015489508557199</v>
      </c>
      <c r="C25" s="6">
        <f t="shared" si="9"/>
        <v>-9.6685080255499545E-2</v>
      </c>
      <c r="D25" s="6">
        <f t="shared" si="7"/>
        <v>0.1355425029594319</v>
      </c>
      <c r="E25" s="6">
        <f t="shared" si="10"/>
        <v>-0.33727437576866898</v>
      </c>
      <c r="F25" s="6">
        <f t="shared" si="11"/>
        <v>-0.1517379420208354</v>
      </c>
      <c r="I25" s="6"/>
      <c r="J25" s="6"/>
      <c r="K25" s="6"/>
      <c r="L25" s="6"/>
      <c r="M25" s="6"/>
      <c r="N25" s="6"/>
      <c r="O25" s="6"/>
      <c r="P25" s="6"/>
      <c r="Q25" s="6"/>
      <c r="R25" s="6"/>
      <c r="S25" s="6"/>
      <c r="T25" s="1"/>
    </row>
    <row r="26" spans="1:20" ht="15.5" x14ac:dyDescent="0.35">
      <c r="A26" s="3" t="s">
        <v>39</v>
      </c>
      <c r="B26" s="10">
        <f t="shared" si="8"/>
        <v>-0.40695095551175497</v>
      </c>
      <c r="C26" s="6">
        <f t="shared" si="9"/>
        <v>5.4862287926428666E-2</v>
      </c>
      <c r="D26" s="6">
        <f t="shared" si="7"/>
        <v>0.13343884397981082</v>
      </c>
      <c r="E26" s="6">
        <f t="shared" si="10"/>
        <v>-0.33458822247202097</v>
      </c>
      <c r="F26" s="6">
        <f t="shared" si="11"/>
        <v>-0.26066386494597349</v>
      </c>
      <c r="I26" s="6"/>
      <c r="J26" s="6"/>
      <c r="K26" s="6"/>
      <c r="L26" s="6"/>
      <c r="M26" s="6"/>
      <c r="N26" s="6"/>
      <c r="O26" s="6"/>
      <c r="P26" s="6"/>
      <c r="Q26" s="6"/>
      <c r="R26" s="6"/>
      <c r="S26" s="6"/>
      <c r="T26" s="1"/>
    </row>
    <row r="27" spans="1:20" ht="15.5" x14ac:dyDescent="0.35">
      <c r="A27" s="3"/>
      <c r="B27" s="3"/>
      <c r="C27" s="3"/>
      <c r="D27" s="6"/>
      <c r="E27" s="3"/>
      <c r="F27" s="3"/>
      <c r="G27" s="3"/>
      <c r="H27" s="3"/>
      <c r="I27" s="3"/>
      <c r="J27" s="3"/>
      <c r="K27" s="3"/>
      <c r="L27" s="6"/>
      <c r="M27" s="3"/>
      <c r="N27" s="3"/>
      <c r="O27" s="3"/>
      <c r="P27" s="3"/>
      <c r="Q27" s="3"/>
      <c r="R27" s="6"/>
      <c r="S27" s="3"/>
    </row>
    <row r="28" spans="1:20" ht="15.5" x14ac:dyDescent="0.35">
      <c r="A28" s="3"/>
      <c r="B28" s="3"/>
      <c r="C28" s="3"/>
      <c r="D28" s="6"/>
      <c r="E28" s="3"/>
      <c r="F28" s="3"/>
      <c r="G28" s="3"/>
      <c r="H28" s="3"/>
      <c r="I28" s="3"/>
      <c r="J28" s="3"/>
      <c r="K28" s="3"/>
      <c r="L28" s="3"/>
      <c r="M28" s="3"/>
      <c r="N28" s="3"/>
      <c r="O28" s="3"/>
      <c r="P28" s="3"/>
      <c r="Q28" s="3"/>
      <c r="R28" s="3"/>
      <c r="S28" s="3"/>
    </row>
  </sheetData>
  <mergeCells count="8">
    <mergeCell ref="X3:AA3"/>
    <mergeCell ref="R3:S3"/>
    <mergeCell ref="Q2:S2"/>
    <mergeCell ref="W2:AA2"/>
    <mergeCell ref="D2:H2"/>
    <mergeCell ref="L2:O2"/>
    <mergeCell ref="G3:H3"/>
    <mergeCell ref="M3:O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5DCC-3D0F-4B00-9436-8BFB41C48B0B}">
  <dimension ref="A1:A4"/>
  <sheetViews>
    <sheetView workbookViewId="0">
      <selection activeCell="A4" sqref="A4"/>
    </sheetView>
  </sheetViews>
  <sheetFormatPr defaultRowHeight="14.5" x14ac:dyDescent="0.35"/>
  <cols>
    <col min="1" max="1" width="99.1796875" customWidth="1"/>
  </cols>
  <sheetData>
    <row r="1" spans="1:1" x14ac:dyDescent="0.35">
      <c r="A1" s="40" t="s">
        <v>46</v>
      </c>
    </row>
    <row r="2" spans="1:1" x14ac:dyDescent="0.35">
      <c r="A2" s="41"/>
    </row>
    <row r="3" spans="1:1" ht="48.75" customHeight="1" x14ac:dyDescent="0.35">
      <c r="A3" s="42" t="s">
        <v>47</v>
      </c>
    </row>
    <row r="4" spans="1:1" ht="49.5" customHeight="1" x14ac:dyDescent="0.35">
      <c r="A4" s="42"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2000-093A-44C6-9557-294504852FFC}">
  <dimension ref="A1:AB19"/>
  <sheetViews>
    <sheetView zoomScale="78" zoomScaleNormal="115" workbookViewId="0">
      <selection sqref="A1:E1"/>
    </sheetView>
  </sheetViews>
  <sheetFormatPr defaultRowHeight="14.5" x14ac:dyDescent="0.35"/>
  <cols>
    <col min="1" max="1" width="15.81640625" customWidth="1"/>
    <col min="3" max="3" width="10.54296875" customWidth="1"/>
    <col min="4" max="4" width="10.453125" customWidth="1"/>
    <col min="5" max="6" width="11.81640625" customWidth="1"/>
    <col min="7" max="8" width="13" customWidth="1"/>
    <col min="9" max="9" width="12.7265625" customWidth="1"/>
    <col min="10" max="10" width="7.7265625" customWidth="1"/>
    <col min="11" max="11" width="31.1796875" customWidth="1"/>
    <col min="12" max="12" width="7.7265625" customWidth="1"/>
    <col min="13" max="13" width="10.26953125" customWidth="1"/>
    <col min="14" max="16" width="12.81640625" customWidth="1"/>
    <col min="17" max="17" width="9.1796875" customWidth="1"/>
    <col min="18" max="18" width="15.1796875" customWidth="1"/>
    <col min="19" max="19" width="14.81640625" customWidth="1"/>
    <col min="20" max="20" width="13.81640625" customWidth="1"/>
    <col min="22" max="22" width="22.26953125" customWidth="1"/>
    <col min="23" max="23" width="9.7265625" customWidth="1"/>
    <col min="24" max="24" width="13.1796875" customWidth="1"/>
    <col min="25" max="25" width="12.453125" customWidth="1"/>
    <col min="26" max="26" width="10.1796875" customWidth="1"/>
    <col min="27" max="27" width="14.453125" customWidth="1"/>
    <col min="28" max="28" width="11.7265625" customWidth="1"/>
  </cols>
  <sheetData>
    <row r="1" spans="1:28" ht="38.25" customHeight="1" x14ac:dyDescent="0.35">
      <c r="A1" s="47" t="s">
        <v>0</v>
      </c>
      <c r="B1" s="47"/>
      <c r="C1" s="47"/>
      <c r="D1" s="47"/>
      <c r="E1" s="47"/>
      <c r="F1" s="3"/>
      <c r="G1" s="3"/>
      <c r="H1" s="3"/>
      <c r="I1" s="3"/>
      <c r="J1" s="3"/>
      <c r="K1" s="3"/>
      <c r="L1" s="3"/>
      <c r="M1" s="3"/>
      <c r="N1" s="3"/>
      <c r="O1" s="3"/>
      <c r="P1" s="3"/>
      <c r="Q1" s="3"/>
      <c r="R1" s="3"/>
      <c r="S1" s="3"/>
      <c r="T1" s="3"/>
    </row>
    <row r="2" spans="1:28" ht="49.5" customHeight="1" x14ac:dyDescent="0.35">
      <c r="A2" s="3"/>
      <c r="B2" s="24" t="s">
        <v>1</v>
      </c>
      <c r="C2" s="3"/>
      <c r="D2" s="48" t="s">
        <v>2</v>
      </c>
      <c r="E2" s="48"/>
      <c r="F2" s="48"/>
      <c r="G2" s="48"/>
      <c r="H2" s="48"/>
      <c r="I2" s="48"/>
      <c r="J2" s="3"/>
      <c r="K2" s="24" t="s">
        <v>3</v>
      </c>
      <c r="L2" s="3"/>
      <c r="M2" s="48" t="s">
        <v>4</v>
      </c>
      <c r="N2" s="49"/>
      <c r="O2" s="49"/>
      <c r="P2" s="49"/>
      <c r="Q2" s="9"/>
      <c r="R2" s="48" t="s">
        <v>5</v>
      </c>
      <c r="S2" s="49"/>
      <c r="T2" s="49"/>
      <c r="V2" s="24" t="s">
        <v>6</v>
      </c>
      <c r="W2" s="9"/>
      <c r="X2" s="50" t="s">
        <v>7</v>
      </c>
      <c r="Y2" s="50"/>
      <c r="Z2" s="50"/>
      <c r="AA2" s="50"/>
      <c r="AB2" s="50"/>
    </row>
    <row r="3" spans="1:28" ht="31.5" customHeight="1" x14ac:dyDescent="0.35">
      <c r="A3" s="3"/>
      <c r="B3" s="3"/>
      <c r="C3" s="3"/>
      <c r="D3" s="8" t="s">
        <v>8</v>
      </c>
      <c r="E3" s="3"/>
      <c r="F3" s="3"/>
      <c r="G3" s="46" t="s">
        <v>9</v>
      </c>
      <c r="H3" s="46"/>
      <c r="I3" s="46"/>
      <c r="J3" s="3"/>
      <c r="K3" s="3"/>
      <c r="L3" s="3"/>
      <c r="M3" s="4" t="s">
        <v>10</v>
      </c>
      <c r="N3" s="43" t="s">
        <v>11</v>
      </c>
      <c r="O3" s="43"/>
      <c r="P3" s="43"/>
      <c r="Q3" s="11"/>
      <c r="R3" s="4" t="s">
        <v>12</v>
      </c>
      <c r="S3" s="43" t="s">
        <v>13</v>
      </c>
      <c r="T3" s="43"/>
      <c r="V3" s="4" t="s">
        <v>14</v>
      </c>
      <c r="X3" s="4" t="s">
        <v>15</v>
      </c>
      <c r="Y3" s="43" t="s">
        <v>16</v>
      </c>
      <c r="Z3" s="43"/>
      <c r="AA3" s="43"/>
      <c r="AB3" s="43"/>
    </row>
    <row r="4" spans="1:28" s="2" customFormat="1" ht="62.15" customHeight="1" x14ac:dyDescent="0.35">
      <c r="A4" s="5"/>
      <c r="B4" s="5"/>
      <c r="C4" s="5"/>
      <c r="E4" s="15" t="s">
        <v>17</v>
      </c>
      <c r="F4" s="5" t="s">
        <v>18</v>
      </c>
      <c r="G4" s="5" t="s">
        <v>19</v>
      </c>
      <c r="H4" s="5" t="s">
        <v>49</v>
      </c>
      <c r="I4" s="5" t="s">
        <v>20</v>
      </c>
      <c r="J4" s="5"/>
      <c r="K4" s="5"/>
      <c r="L4" s="5"/>
      <c r="M4" s="8"/>
      <c r="N4" s="5" t="s">
        <v>21</v>
      </c>
      <c r="O4" s="5" t="s">
        <v>22</v>
      </c>
      <c r="P4" s="5" t="s">
        <v>23</v>
      </c>
      <c r="S4" s="5" t="s">
        <v>24</v>
      </c>
      <c r="T4" s="5" t="s">
        <v>25</v>
      </c>
      <c r="V4" s="2" t="s">
        <v>26</v>
      </c>
      <c r="Y4" s="2" t="s">
        <v>27</v>
      </c>
      <c r="Z4" s="2" t="s">
        <v>28</v>
      </c>
      <c r="AA4" s="2" t="s">
        <v>29</v>
      </c>
      <c r="AB4" s="5" t="s">
        <v>30</v>
      </c>
    </row>
    <row r="5" spans="1:28" ht="15.5" x14ac:dyDescent="0.35">
      <c r="A5" s="3" t="s">
        <v>31</v>
      </c>
      <c r="B5" s="10">
        <f t="shared" ref="B5:B13" si="0">D5+M5+R5+V5+X5</f>
        <v>-0.59669311832349448</v>
      </c>
      <c r="C5" s="6"/>
      <c r="D5" s="16">
        <v>-0.40608411849951037</v>
      </c>
      <c r="E5" s="12">
        <v>-0.49659070787292697</v>
      </c>
      <c r="F5" s="12">
        <v>9.0506589373416602E-2</v>
      </c>
      <c r="G5" s="12">
        <f>'[1]OBBBA Effects'!Q12</f>
        <v>0</v>
      </c>
      <c r="H5" s="6">
        <v>0</v>
      </c>
      <c r="I5" s="13">
        <f t="shared" ref="I5:I13" si="1">E5-G5-H5</f>
        <v>-0.49659070787292697</v>
      </c>
      <c r="J5" s="23"/>
      <c r="K5" s="16">
        <f t="shared" ref="K5:K13" si="2">M5+R5+V5+X5</f>
        <v>-0.19060899982398402</v>
      </c>
      <c r="L5" s="23"/>
      <c r="M5" s="16">
        <v>-0.52308038052999606</v>
      </c>
      <c r="N5" s="6">
        <f>'[1]OBBBA Effects'!AG12</f>
        <v>0</v>
      </c>
      <c r="O5" s="6">
        <f>'[1]Tariff Effects'!D10</f>
        <v>-0.27793256650730497</v>
      </c>
      <c r="P5" s="13">
        <f t="shared" ref="P5:P13" si="3">M5-N5-O5</f>
        <v>-0.24514781402269109</v>
      </c>
      <c r="R5" s="16">
        <v>0.46904040069380332</v>
      </c>
      <c r="S5" s="6">
        <f>'[1]OBBBA Effects'!AF12</f>
        <v>0</v>
      </c>
      <c r="T5" s="13">
        <f t="shared" ref="T5:T13" si="4">R5-S5</f>
        <v>0.46904040069380332</v>
      </c>
      <c r="U5" s="1"/>
      <c r="V5" s="22">
        <v>-0.3</v>
      </c>
      <c r="X5" s="14">
        <f t="shared" ref="X5:X13" si="5">Y5+Z5+AA5+AB5</f>
        <v>0.16343098001220871</v>
      </c>
      <c r="Y5" s="6">
        <v>0</v>
      </c>
      <c r="Z5" s="6">
        <v>-2.3738219379538301E-2</v>
      </c>
      <c r="AA5" s="6">
        <v>0.187169199391747</v>
      </c>
      <c r="AB5" s="13">
        <v>0</v>
      </c>
    </row>
    <row r="6" spans="1:28" ht="15.5" x14ac:dyDescent="0.35">
      <c r="A6" s="3" t="s">
        <v>32</v>
      </c>
      <c r="B6" s="10">
        <f t="shared" si="0"/>
        <v>-4.1287946132997605E-2</v>
      </c>
      <c r="C6" s="6"/>
      <c r="D6" s="16">
        <v>-0.18712217680795862</v>
      </c>
      <c r="E6" s="12">
        <v>1.83533240147938E-3</v>
      </c>
      <c r="F6" s="12">
        <v>-0.18895750920943799</v>
      </c>
      <c r="G6" s="12">
        <f>'[1]OBBBA Effects'!Q13</f>
        <v>0.25855940422904139</v>
      </c>
      <c r="H6" s="6">
        <v>0</v>
      </c>
      <c r="I6" s="13">
        <f t="shared" si="1"/>
        <v>-0.25672407182756202</v>
      </c>
      <c r="J6" s="23"/>
      <c r="K6" s="16">
        <f t="shared" si="2"/>
        <v>0.14583423067496101</v>
      </c>
      <c r="L6" s="23"/>
      <c r="M6" s="16">
        <v>-5.0183294966898995E-4</v>
      </c>
      <c r="N6" s="6">
        <f>'[1]OBBBA Effects'!AG13</f>
        <v>0.36878074930840943</v>
      </c>
      <c r="O6" s="6">
        <f>'[1]Tariff Effects'!D11</f>
        <v>-0.40944270920465997</v>
      </c>
      <c r="P6" s="13">
        <f t="shared" si="3"/>
        <v>4.0160126946581554E-2</v>
      </c>
      <c r="R6" s="16">
        <v>0.36314224341199181</v>
      </c>
      <c r="S6" s="6">
        <f>'[1]OBBBA Effects'!AF13</f>
        <v>-2.9737507115553567E-2</v>
      </c>
      <c r="T6" s="13">
        <f t="shared" si="4"/>
        <v>0.39287975052754537</v>
      </c>
      <c r="U6" s="1"/>
      <c r="V6" s="22">
        <v>-0.3</v>
      </c>
      <c r="X6" s="14">
        <f t="shared" si="5"/>
        <v>8.3193820212638186E-2</v>
      </c>
      <c r="Y6" s="6">
        <v>0</v>
      </c>
      <c r="Z6" s="6">
        <v>-2.9638323362874801E-2</v>
      </c>
      <c r="AA6" s="6">
        <v>0.11283214357551299</v>
      </c>
      <c r="AB6" s="13">
        <v>0</v>
      </c>
    </row>
    <row r="7" spans="1:28" ht="15.5" x14ac:dyDescent="0.35">
      <c r="A7" s="3" t="s">
        <v>33</v>
      </c>
      <c r="B7" s="10">
        <f t="shared" si="0"/>
        <v>-1.3508929982375832</v>
      </c>
      <c r="C7" s="6"/>
      <c r="D7" s="16">
        <v>-0.59616522255533</v>
      </c>
      <c r="E7" s="12">
        <v>-0.40818665265298099</v>
      </c>
      <c r="F7" s="12">
        <v>-0.18797856990234901</v>
      </c>
      <c r="G7" s="12">
        <f>'[1]OBBBA Effects'!Q14</f>
        <v>0.13072230777033905</v>
      </c>
      <c r="H7" s="6">
        <v>-0.6</v>
      </c>
      <c r="I7" s="13">
        <f t="shared" si="1"/>
        <v>6.109103957667994E-2</v>
      </c>
      <c r="J7" s="23"/>
      <c r="K7" s="16">
        <f t="shared" si="2"/>
        <v>-0.75472777568225324</v>
      </c>
      <c r="L7" s="23"/>
      <c r="M7" s="16">
        <v>-9.4973042238750111E-2</v>
      </c>
      <c r="N7" s="6">
        <f>'[1]OBBBA Effects'!AG14</f>
        <v>0.24653238397114546</v>
      </c>
      <c r="O7" s="6">
        <f>'[1]Tariff Effects'!D12</f>
        <v>-0.358948559658543</v>
      </c>
      <c r="P7" s="13">
        <f t="shared" si="3"/>
        <v>1.7443133448647452E-2</v>
      </c>
      <c r="R7" s="16">
        <v>0.42444100505039051</v>
      </c>
      <c r="S7" s="6">
        <f>'[1]OBBBA Effects'!AF14</f>
        <v>-4.8516192113432111E-2</v>
      </c>
      <c r="T7" s="13">
        <f t="shared" si="4"/>
        <v>0.47295719716382262</v>
      </c>
      <c r="U7" s="1"/>
      <c r="V7" s="22">
        <v>-0.3</v>
      </c>
      <c r="X7" s="14">
        <f t="shared" si="5"/>
        <v>-0.78419573849389357</v>
      </c>
      <c r="Y7" s="6">
        <v>-0.9</v>
      </c>
      <c r="Z7" s="6">
        <v>-2.4548492152382501E-2</v>
      </c>
      <c r="AA7" s="6">
        <v>0.14035275365848901</v>
      </c>
      <c r="AB7" s="13">
        <v>0</v>
      </c>
    </row>
    <row r="8" spans="1:28" ht="15.5" x14ac:dyDescent="0.35">
      <c r="A8" s="3" t="s">
        <v>34</v>
      </c>
      <c r="B8" s="10">
        <f t="shared" si="0"/>
        <v>2.022727520111109</v>
      </c>
      <c r="C8" s="6"/>
      <c r="D8" s="16">
        <v>0.70673922128647704</v>
      </c>
      <c r="E8" s="12">
        <v>0.89353248872401803</v>
      </c>
      <c r="F8" s="12">
        <v>-0.18679326743754099</v>
      </c>
      <c r="G8" s="12">
        <f>'[1]OBBBA Effects'!Q15</f>
        <v>0.22274524405415508</v>
      </c>
      <c r="H8" s="6">
        <v>0.6</v>
      </c>
      <c r="I8" s="13">
        <f t="shared" si="1"/>
        <v>7.078724466986297E-2</v>
      </c>
      <c r="J8" s="23"/>
      <c r="K8" s="16">
        <f t="shared" si="2"/>
        <v>1.3159882988246321</v>
      </c>
      <c r="L8" s="23"/>
      <c r="M8" s="16">
        <v>-9.2600531259197011E-2</v>
      </c>
      <c r="N8" s="6">
        <f>'[1]OBBBA Effects'!AG15</f>
        <v>0.56778602790578925</v>
      </c>
      <c r="O8" s="6">
        <f>'[1]Tariff Effects'!D13</f>
        <v>-0.28507785389843898</v>
      </c>
      <c r="P8" s="13">
        <f t="shared" si="3"/>
        <v>-0.37530870526654725</v>
      </c>
      <c r="R8" s="16">
        <v>0.45751037596524036</v>
      </c>
      <c r="S8" s="6">
        <f>'[1]OBBBA Effects'!AF15</f>
        <v>-4.5972445743988649E-2</v>
      </c>
      <c r="T8" s="13">
        <f t="shared" si="4"/>
        <v>0.50348282170922898</v>
      </c>
      <c r="U8" s="1"/>
      <c r="V8" s="22">
        <v>-0.3</v>
      </c>
      <c r="X8" s="14">
        <f t="shared" si="5"/>
        <v>1.2510784541185886</v>
      </c>
      <c r="Y8" s="6">
        <v>0.9</v>
      </c>
      <c r="Z8" s="6">
        <v>-2.2803875892856401E-2</v>
      </c>
      <c r="AA8" s="6">
        <v>0.313882330011445</v>
      </c>
      <c r="AB8" s="13">
        <v>0.06</v>
      </c>
    </row>
    <row r="9" spans="1:28" ht="15.5" x14ac:dyDescent="0.35">
      <c r="A9" s="3" t="s">
        <v>35</v>
      </c>
      <c r="B9" s="10">
        <f t="shared" si="0"/>
        <v>6.3982591271308287E-2</v>
      </c>
      <c r="C9" s="6"/>
      <c r="D9" s="16">
        <v>-0.1728216674432787</v>
      </c>
      <c r="E9" s="12">
        <v>2.5063031368209299E-2</v>
      </c>
      <c r="F9" s="12">
        <v>-0.19788469881148801</v>
      </c>
      <c r="G9" s="12">
        <f>'[1]OBBBA Effects'!Q16</f>
        <v>0.12541076800961129</v>
      </c>
      <c r="H9" s="6">
        <v>0</v>
      </c>
      <c r="I9" s="13">
        <f t="shared" si="1"/>
        <v>-0.10034773664140199</v>
      </c>
      <c r="J9" s="23"/>
      <c r="K9" s="16">
        <f t="shared" si="2"/>
        <v>0.23680425871458699</v>
      </c>
      <c r="L9" s="23"/>
      <c r="M9" s="16">
        <v>-4.0177049523336977E-2</v>
      </c>
      <c r="N9" s="6">
        <f>'[1]OBBBA Effects'!AG16</f>
        <v>0.5591119676324684</v>
      </c>
      <c r="O9" s="6">
        <f>'[1]Tariff Effects'!D14</f>
        <v>-0.237330494878078</v>
      </c>
      <c r="P9" s="13">
        <f t="shared" si="3"/>
        <v>-0.3619585222777274</v>
      </c>
      <c r="R9" s="16">
        <v>0.18912151793232448</v>
      </c>
      <c r="S9" s="6">
        <f>'[1]OBBBA Effects'!AF16</f>
        <v>-4.3733370073090777E-2</v>
      </c>
      <c r="T9" s="13">
        <f t="shared" si="4"/>
        <v>0.23285488800541526</v>
      </c>
      <c r="U9" s="1"/>
      <c r="V9" s="22">
        <v>-0.2</v>
      </c>
      <c r="X9" s="14">
        <f t="shared" si="5"/>
        <v>0.28785979030559949</v>
      </c>
      <c r="Y9" s="6">
        <v>0</v>
      </c>
      <c r="Z9" s="6">
        <v>-2.0976970786457501E-2</v>
      </c>
      <c r="AA9" s="6">
        <v>0.24883676109205699</v>
      </c>
      <c r="AB9" s="13">
        <v>0.06</v>
      </c>
    </row>
    <row r="10" spans="1:28" ht="15.5" x14ac:dyDescent="0.35">
      <c r="A10" s="3" t="s">
        <v>36</v>
      </c>
      <c r="B10" s="10">
        <f t="shared" si="0"/>
        <v>-9.1736920575122893E-2</v>
      </c>
      <c r="C10" s="6"/>
      <c r="D10" s="16">
        <v>-0.22708997999129629</v>
      </c>
      <c r="E10" s="12">
        <v>-3.9419277329213298E-2</v>
      </c>
      <c r="F10" s="12">
        <v>-0.18767070266208299</v>
      </c>
      <c r="G10" s="12">
        <f>'[1]OBBBA Effects'!Q17</f>
        <v>7.0029300104018699E-2</v>
      </c>
      <c r="H10" s="6">
        <v>0</v>
      </c>
      <c r="I10" s="13">
        <f t="shared" si="1"/>
        <v>-0.109448577433232</v>
      </c>
      <c r="J10" s="23"/>
      <c r="K10" s="16">
        <f t="shared" si="2"/>
        <v>0.1353530594161734</v>
      </c>
      <c r="L10" s="23"/>
      <c r="M10" s="16">
        <v>-2.1466797101752207E-2</v>
      </c>
      <c r="N10" s="6">
        <f>'[1]OBBBA Effects'!AG17</f>
        <v>0.34286665208237566</v>
      </c>
      <c r="O10" s="6">
        <f>'[1]Tariff Effects'!D15</f>
        <v>-0.23316633730465</v>
      </c>
      <c r="P10" s="13">
        <f t="shared" si="3"/>
        <v>-0.13116711187947785</v>
      </c>
      <c r="R10" s="16">
        <v>0.23928021302061792</v>
      </c>
      <c r="S10" s="6">
        <f>'[1]OBBBA Effects'!AF17</f>
        <v>-3.4118873935615635E-2</v>
      </c>
      <c r="T10" s="13">
        <f t="shared" si="4"/>
        <v>0.27339908695623355</v>
      </c>
      <c r="U10" s="1"/>
      <c r="V10" s="22">
        <v>-0.2</v>
      </c>
      <c r="X10" s="14">
        <f t="shared" si="5"/>
        <v>0.11753964349730769</v>
      </c>
      <c r="Y10" s="6">
        <v>0</v>
      </c>
      <c r="Z10" s="6">
        <v>-1.9015005404116901E-2</v>
      </c>
      <c r="AA10" s="6">
        <v>7.6554648901424605E-2</v>
      </c>
      <c r="AB10" s="13">
        <v>0.06</v>
      </c>
    </row>
    <row r="11" spans="1:28" ht="15.5" x14ac:dyDescent="0.35">
      <c r="A11" s="3" t="s">
        <v>37</v>
      </c>
      <c r="B11" s="10">
        <f t="shared" si="0"/>
        <v>-0.28654626864725852</v>
      </c>
      <c r="C11" s="6"/>
      <c r="D11" s="16">
        <v>-0.33323663532548597</v>
      </c>
      <c r="E11" s="12">
        <v>-0.134754265364598</v>
      </c>
      <c r="F11" s="12">
        <v>-0.198482369960888</v>
      </c>
      <c r="G11" s="12">
        <f>'[1]OBBBA Effects'!Q18</f>
        <v>-6.4345258995419929E-3</v>
      </c>
      <c r="H11" s="6">
        <v>0</v>
      </c>
      <c r="I11" s="13">
        <f t="shared" si="1"/>
        <v>-0.12831973946505601</v>
      </c>
      <c r="J11" s="23"/>
      <c r="K11" s="16">
        <f t="shared" si="2"/>
        <v>4.6690366678227374E-2</v>
      </c>
      <c r="L11" s="23"/>
      <c r="M11" s="16">
        <v>1.9304293758954795E-2</v>
      </c>
      <c r="N11" s="6">
        <f>'[1]OBBBA Effects'!AG18</f>
        <v>0.33784148835619743</v>
      </c>
      <c r="O11" s="6">
        <f>'[1]Tariff Effects'!D16</f>
        <v>-0.23056211526934639</v>
      </c>
      <c r="P11" s="13">
        <f t="shared" si="3"/>
        <v>-8.7975079327896222E-2</v>
      </c>
      <c r="R11" s="16">
        <v>0.23263159892568999</v>
      </c>
      <c r="S11" s="6">
        <f>'[1]OBBBA Effects'!AF18</f>
        <v>-8.1669332766200239E-2</v>
      </c>
      <c r="T11" s="13">
        <f t="shared" si="4"/>
        <v>0.31430093169189022</v>
      </c>
      <c r="U11" s="1"/>
      <c r="V11" s="22">
        <v>-0.2</v>
      </c>
      <c r="X11" s="14">
        <f t="shared" si="5"/>
        <v>-5.2455260064173947E-3</v>
      </c>
      <c r="Y11" s="6">
        <v>0</v>
      </c>
      <c r="Z11" s="6">
        <v>-1.2025895631619E-2</v>
      </c>
      <c r="AA11" s="6">
        <v>-5.3219630374798398E-2</v>
      </c>
      <c r="AB11" s="13">
        <v>0.06</v>
      </c>
    </row>
    <row r="12" spans="1:28" ht="15.5" x14ac:dyDescent="0.35">
      <c r="A12" s="3" t="s">
        <v>38</v>
      </c>
      <c r="B12" s="10">
        <f t="shared" si="0"/>
        <v>-0.45015489508557249</v>
      </c>
      <c r="C12" s="6"/>
      <c r="D12" s="16">
        <v>-0.26678026028479251</v>
      </c>
      <c r="E12" s="12">
        <v>-6.4067477393471503E-2</v>
      </c>
      <c r="F12" s="12">
        <v>-0.202712782891321</v>
      </c>
      <c r="G12" s="12">
        <f>'[1]OBBBA Effects'!Q19</f>
        <v>-8.6757820870570004E-3</v>
      </c>
      <c r="H12" s="6">
        <v>0</v>
      </c>
      <c r="I12" s="13">
        <f t="shared" si="1"/>
        <v>-5.5391695306414503E-2</v>
      </c>
      <c r="J12" s="23"/>
      <c r="K12" s="16">
        <f t="shared" si="2"/>
        <v>-0.18337463480078001</v>
      </c>
      <c r="L12" s="23"/>
      <c r="M12" s="16">
        <v>-9.1287230438078015E-2</v>
      </c>
      <c r="N12" s="6">
        <f>'[1]OBBBA Effects'!AG19</f>
        <v>0.45231205190082657</v>
      </c>
      <c r="O12" s="6">
        <f>'[1]Tariff Effects'!D17</f>
        <v>-0.22860907638783701</v>
      </c>
      <c r="P12" s="13">
        <f t="shared" si="3"/>
        <v>-0.31499020595106764</v>
      </c>
      <c r="R12" s="16">
        <v>0.22796144310800642</v>
      </c>
      <c r="S12" s="6">
        <f>'[1]OBBBA Effects'!AF19</f>
        <v>-8.1020765400048003E-2</v>
      </c>
      <c r="T12" s="13">
        <f t="shared" si="4"/>
        <v>0.30898220850805441</v>
      </c>
      <c r="U12" s="1"/>
      <c r="V12" s="22">
        <v>-0.1</v>
      </c>
      <c r="X12" s="14">
        <f t="shared" si="5"/>
        <v>-0.22004884747070841</v>
      </c>
      <c r="Y12" s="6">
        <v>0</v>
      </c>
      <c r="Z12" s="6">
        <v>-1.14904795380124E-2</v>
      </c>
      <c r="AA12" s="6">
        <v>-0.268558367932696</v>
      </c>
      <c r="AB12" s="13">
        <v>0.06</v>
      </c>
    </row>
    <row r="13" spans="1:28" ht="15.5" x14ac:dyDescent="0.35">
      <c r="A13" s="3" t="s">
        <v>39</v>
      </c>
      <c r="B13" s="10">
        <f t="shared" si="0"/>
        <v>-0.40695095551175497</v>
      </c>
      <c r="C13" s="6"/>
      <c r="D13" s="16">
        <v>-0.30191172274618699</v>
      </c>
      <c r="E13" s="12">
        <v>-0.110727166879507</v>
      </c>
      <c r="F13" s="12">
        <v>-0.19118455586668001</v>
      </c>
      <c r="G13" s="12">
        <f>'[1]OBBBA Effects'!Q20</f>
        <v>-8.4704580042369998E-3</v>
      </c>
      <c r="H13" s="6">
        <v>0</v>
      </c>
      <c r="I13" s="13">
        <f t="shared" si="1"/>
        <v>-0.10225670887527</v>
      </c>
      <c r="J13" s="23"/>
      <c r="K13" s="16">
        <f t="shared" si="2"/>
        <v>-0.10503923276556795</v>
      </c>
      <c r="L13" s="23"/>
      <c r="M13" s="16">
        <v>8.7458255478999991E-2</v>
      </c>
      <c r="N13" s="6">
        <f>'[1]OBBBA Effects'!AG20</f>
        <v>0.442884840644587</v>
      </c>
      <c r="O13" s="6">
        <f>'[1]Tariff Effects'!D18</f>
        <v>-9.8285195354520197E-2</v>
      </c>
      <c r="P13" s="13">
        <f t="shared" si="3"/>
        <v>-0.25714138981106682</v>
      </c>
      <c r="R13" s="16">
        <v>0.22224467409968249</v>
      </c>
      <c r="S13" s="6">
        <f>'[1]OBBBA Effects'!AF20</f>
        <v>-7.8572555193289206E-2</v>
      </c>
      <c r="T13" s="13">
        <f t="shared" si="4"/>
        <v>0.30081722929297172</v>
      </c>
      <c r="U13" s="1"/>
      <c r="V13" s="22">
        <v>-0.1</v>
      </c>
      <c r="X13" s="14">
        <f t="shared" si="5"/>
        <v>-0.31474216234425045</v>
      </c>
      <c r="Y13" s="6">
        <v>0</v>
      </c>
      <c r="Z13" s="6">
        <v>-9.5126456296744898E-3</v>
      </c>
      <c r="AA13" s="6">
        <v>-0.36522951671457599</v>
      </c>
      <c r="AB13" s="13">
        <v>0.06</v>
      </c>
    </row>
    <row r="14" spans="1:28" ht="15.5" x14ac:dyDescent="0.35">
      <c r="A14" s="3"/>
      <c r="B14" s="3"/>
      <c r="C14" s="3"/>
      <c r="D14" s="6"/>
      <c r="E14" s="6"/>
      <c r="F14" s="6"/>
      <c r="G14" s="6"/>
      <c r="H14" s="6"/>
      <c r="I14" s="6"/>
      <c r="J14" s="6"/>
      <c r="K14" s="6"/>
      <c r="L14" s="6"/>
      <c r="M14" s="6"/>
      <c r="N14" s="6"/>
      <c r="O14" s="6"/>
      <c r="P14" s="6"/>
      <c r="Q14" s="6"/>
      <c r="R14" s="6"/>
      <c r="S14" s="6"/>
      <c r="T14" s="6"/>
    </row>
    <row r="15" spans="1:28" ht="15.5" x14ac:dyDescent="0.35">
      <c r="L15" s="6"/>
      <c r="M15" s="6"/>
      <c r="N15" s="6"/>
      <c r="O15" s="6"/>
      <c r="P15" s="6"/>
      <c r="Q15" s="6"/>
      <c r="R15" s="6"/>
      <c r="S15" s="19"/>
      <c r="T15" s="6"/>
      <c r="U15" s="1"/>
    </row>
    <row r="16" spans="1:28" ht="15.5" x14ac:dyDescent="0.35">
      <c r="L16" s="6"/>
      <c r="M16" s="6"/>
      <c r="N16" s="6"/>
      <c r="O16" s="6"/>
      <c r="P16" s="6"/>
      <c r="Q16" s="6"/>
      <c r="R16" s="6"/>
      <c r="S16" s="6"/>
      <c r="T16" s="6"/>
      <c r="U16" s="1"/>
    </row>
    <row r="17" spans="1:21" ht="15.5" x14ac:dyDescent="0.35">
      <c r="L17" s="6"/>
      <c r="M17" s="6"/>
      <c r="N17" s="6"/>
      <c r="O17" s="6"/>
      <c r="P17" s="6"/>
      <c r="Q17" s="6"/>
      <c r="R17" s="6"/>
      <c r="S17" s="6"/>
      <c r="T17" s="6"/>
      <c r="U17" s="1"/>
    </row>
    <row r="18" spans="1:21" ht="15.5" x14ac:dyDescent="0.35">
      <c r="A18" s="3"/>
      <c r="B18" s="3"/>
      <c r="C18" s="3"/>
      <c r="D18" s="6"/>
      <c r="E18" s="3"/>
      <c r="F18" s="3"/>
      <c r="G18" s="3"/>
      <c r="H18" s="3"/>
      <c r="I18" s="3"/>
      <c r="J18" s="3"/>
      <c r="K18" s="3"/>
      <c r="L18" s="3"/>
      <c r="M18" s="6"/>
      <c r="N18" s="3"/>
      <c r="O18" s="3"/>
      <c r="P18" s="3"/>
      <c r="Q18" s="3"/>
      <c r="R18" s="3"/>
      <c r="S18" s="6"/>
      <c r="T18" s="3"/>
    </row>
    <row r="19" spans="1:21" ht="15.5" x14ac:dyDescent="0.35">
      <c r="A19" s="3"/>
      <c r="B19" s="3"/>
      <c r="C19" s="23"/>
      <c r="D19" s="23"/>
      <c r="E19" s="23"/>
      <c r="F19" s="23"/>
      <c r="G19" s="3"/>
      <c r="H19" s="3"/>
      <c r="I19" s="3"/>
      <c r="J19" s="3"/>
      <c r="K19" s="3"/>
      <c r="L19" s="3"/>
      <c r="M19" s="3"/>
      <c r="N19" s="3"/>
      <c r="O19" s="3"/>
      <c r="P19" s="3"/>
      <c r="Q19" s="3"/>
      <c r="R19" s="3"/>
      <c r="S19" s="3"/>
      <c r="T19" s="3"/>
    </row>
  </sheetData>
  <mergeCells count="9">
    <mergeCell ref="G3:I3"/>
    <mergeCell ref="N3:P3"/>
    <mergeCell ref="S3:T3"/>
    <mergeCell ref="Y3:AB3"/>
    <mergeCell ref="A1:E1"/>
    <mergeCell ref="D2:I2"/>
    <mergeCell ref="M2:P2"/>
    <mergeCell ref="R2:T2"/>
    <mergeCell ref="X2:AB2"/>
  </mergeCells>
  <pageMargins left="0.7" right="0.7" top="0.75" bottom="0.75" header="0.3" footer="0.3"/>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FB68-DBBF-40E7-A3C8-F6F7CB448EFC}">
  <dimension ref="A1:J12"/>
  <sheetViews>
    <sheetView tabSelected="1" workbookViewId="0"/>
  </sheetViews>
  <sheetFormatPr defaultRowHeight="14.5" x14ac:dyDescent="0.35"/>
  <cols>
    <col min="1" max="1" width="36.54296875" bestFit="1" customWidth="1"/>
    <col min="3" max="3" width="10.81640625" customWidth="1"/>
    <col min="4" max="5" width="16.54296875" customWidth="1"/>
    <col min="7" max="7" width="14.54296875" customWidth="1"/>
    <col min="8" max="8" width="15.81640625" customWidth="1"/>
    <col min="9" max="9" width="12.1796875" customWidth="1"/>
  </cols>
  <sheetData>
    <row r="1" spans="1:10" ht="29.25" customHeight="1" x14ac:dyDescent="0.35">
      <c r="A1" s="17" t="s">
        <v>40</v>
      </c>
      <c r="B1" s="17"/>
      <c r="C1" s="17"/>
      <c r="D1" s="18"/>
      <c r="E1" s="18"/>
      <c r="F1" s="18"/>
      <c r="G1" s="18"/>
      <c r="H1" s="18"/>
      <c r="I1" s="19"/>
      <c r="J1" s="18"/>
    </row>
    <row r="2" spans="1:10" ht="39.65" customHeight="1" x14ac:dyDescent="0.35">
      <c r="A2" s="17"/>
      <c r="B2" s="17"/>
      <c r="C2" s="17"/>
      <c r="D2" s="51" t="s">
        <v>50</v>
      </c>
      <c r="E2" s="51"/>
      <c r="F2" s="18"/>
      <c r="G2" s="18"/>
      <c r="H2" s="18"/>
      <c r="I2" s="19"/>
      <c r="J2" s="18"/>
    </row>
    <row r="3" spans="1:10" ht="49.5" customHeight="1" x14ac:dyDescent="0.35">
      <c r="A3" s="5"/>
      <c r="B3" s="4" t="s">
        <v>1</v>
      </c>
      <c r="C3" s="7" t="s">
        <v>41</v>
      </c>
      <c r="D3" s="2" t="s">
        <v>51</v>
      </c>
      <c r="E3" s="2" t="s">
        <v>52</v>
      </c>
      <c r="F3" s="5" t="s">
        <v>42</v>
      </c>
      <c r="G3" s="5" t="s">
        <v>43</v>
      </c>
      <c r="H3" s="5" t="s">
        <v>53</v>
      </c>
      <c r="I3" s="2" t="s">
        <v>54</v>
      </c>
      <c r="J3" s="5"/>
    </row>
    <row r="4" spans="1:10" ht="15.5" x14ac:dyDescent="0.35">
      <c r="A4" s="3" t="s">
        <v>31</v>
      </c>
      <c r="B4" s="10">
        <f t="shared" ref="B4:B12" si="0">C4+SUM(F4:I4)</f>
        <v>-0.59669311832349448</v>
      </c>
      <c r="C4" s="6">
        <f t="shared" ref="C4:C12" si="1">D4+E4</f>
        <v>-0.18219153182839815</v>
      </c>
      <c r="D4" s="31">
        <f>'Table 1'!F5+'Table 1'!I5</f>
        <v>-0.40608411849951037</v>
      </c>
      <c r="E4" s="31">
        <f>'Table 1'!P5+'Table 1'!T5</f>
        <v>0.22389258667111223</v>
      </c>
      <c r="F4" s="6">
        <f>'Table 1'!G5+'Table 1'!N5+'Table 1'!S5+'Table 1'!AB5</f>
        <v>0</v>
      </c>
      <c r="G4" s="6">
        <f>'Table 1'!O5+'Table 1'!V5</f>
        <v>-0.57793256650730496</v>
      </c>
      <c r="H4" s="6">
        <f>'Table 1'!Z5+'Table 1'!AA5</f>
        <v>0.16343098001220871</v>
      </c>
      <c r="I4" s="31">
        <f>'Table 1'!H5+'Table 1'!Y5</f>
        <v>0</v>
      </c>
      <c r="J4" s="6"/>
    </row>
    <row r="5" spans="1:10" ht="15.5" x14ac:dyDescent="0.35">
      <c r="A5" s="3" t="s">
        <v>32</v>
      </c>
      <c r="B5" s="10">
        <f t="shared" si="0"/>
        <v>-4.1287946132997716E-2</v>
      </c>
      <c r="C5" s="6">
        <f t="shared" si="1"/>
        <v>-1.2641703562873086E-2</v>
      </c>
      <c r="D5" s="31">
        <f>'Table 1'!F6+'Table 1'!I6</f>
        <v>-0.44568158103700001</v>
      </c>
      <c r="E5" s="31">
        <f>'Table 1'!P6+'Table 1'!T6</f>
        <v>0.43303987747412692</v>
      </c>
      <c r="F5" s="6">
        <f>'Table 1'!G6+'Table 1'!N6+'Table 1'!S6+'Table 1'!AB6</f>
        <v>0.5976026464218972</v>
      </c>
      <c r="G5" s="6">
        <f>'Table 1'!O6+'Table 1'!V6</f>
        <v>-0.70944270920466002</v>
      </c>
      <c r="H5" s="6">
        <f>'Table 1'!Z6+'Table 1'!AA6</f>
        <v>8.3193820212638186E-2</v>
      </c>
      <c r="I5" s="31">
        <f>'Table 1'!H6+'Table 1'!Y6</f>
        <v>0</v>
      </c>
      <c r="J5" s="6"/>
    </row>
    <row r="6" spans="1:10" ht="15.5" x14ac:dyDescent="0.35">
      <c r="A6" s="3" t="s">
        <v>33</v>
      </c>
      <c r="B6" s="10">
        <f t="shared" si="0"/>
        <v>-1.3508929982375832</v>
      </c>
      <c r="C6" s="6">
        <f t="shared" si="1"/>
        <v>0.363512800286801</v>
      </c>
      <c r="D6" s="31">
        <f>'Table 1'!F7+'Table 1'!I7</f>
        <v>-0.12688753032566907</v>
      </c>
      <c r="E6" s="31">
        <f>'Table 1'!P7+'Table 1'!T7</f>
        <v>0.49040033061247007</v>
      </c>
      <c r="F6" s="6">
        <f>'Table 1'!G7+'Table 1'!N7+'Table 1'!S7+'Table 1'!AB7</f>
        <v>0.32873849962805241</v>
      </c>
      <c r="G6" s="6">
        <f>'Table 1'!O7+'Table 1'!V7</f>
        <v>-0.65894855965854293</v>
      </c>
      <c r="H6" s="6">
        <f>'Table 1'!Z7+'Table 1'!AA7</f>
        <v>0.11580426150610651</v>
      </c>
      <c r="I6" s="31">
        <f>'Table 1'!H7+'Table 1'!Y7</f>
        <v>-1.5</v>
      </c>
      <c r="J6" s="6"/>
    </row>
    <row r="7" spans="1:10" ht="15.5" x14ac:dyDescent="0.35">
      <c r="A7" s="3" t="s">
        <v>34</v>
      </c>
      <c r="B7" s="10">
        <f t="shared" si="0"/>
        <v>2.022727520111109</v>
      </c>
      <c r="C7" s="6">
        <f t="shared" si="1"/>
        <v>1.2168093675003711E-2</v>
      </c>
      <c r="D7" s="31">
        <f>'Table 1'!F8+'Table 1'!I8</f>
        <v>-0.11600602276767802</v>
      </c>
      <c r="E7" s="31">
        <f>'Table 1'!P8+'Table 1'!T8</f>
        <v>0.12817411644268173</v>
      </c>
      <c r="F7" s="6">
        <f>'Table 1'!G8+'Table 1'!N8+'Table 1'!S8+'Table 1'!AB8</f>
        <v>0.80455882621595576</v>
      </c>
      <c r="G7" s="6">
        <f>'Table 1'!O8+'Table 1'!V8</f>
        <v>-0.58507785389843892</v>
      </c>
      <c r="H7" s="6">
        <f>'Table 1'!Z8+'Table 1'!AA8</f>
        <v>0.29107845411858857</v>
      </c>
      <c r="I7" s="31">
        <f>'Table 1'!H8+'Table 1'!Y8</f>
        <v>1.5</v>
      </c>
      <c r="J7" s="6"/>
    </row>
    <row r="8" spans="1:10" ht="15.5" x14ac:dyDescent="0.35">
      <c r="A8" s="3" t="s">
        <v>35</v>
      </c>
      <c r="B8" s="10">
        <f t="shared" si="0"/>
        <v>6.3982591271308287E-2</v>
      </c>
      <c r="C8" s="6">
        <f t="shared" si="1"/>
        <v>-0.42733606972520216</v>
      </c>
      <c r="D8" s="31">
        <f>'Table 1'!F9+'Table 1'!I9</f>
        <v>-0.29823243545289002</v>
      </c>
      <c r="E8" s="31">
        <f>'Table 1'!P9+'Table 1'!T9</f>
        <v>-0.12910363427231214</v>
      </c>
      <c r="F8" s="6">
        <f>'Table 1'!G9+'Table 1'!N9+'Table 1'!S9+'Table 1'!AB9</f>
        <v>0.70078936556898896</v>
      </c>
      <c r="G8" s="6">
        <f>'Table 1'!O9+'Table 1'!V9</f>
        <v>-0.43733049487807801</v>
      </c>
      <c r="H8" s="6">
        <f>'Table 1'!Z9+'Table 1'!AA9</f>
        <v>0.2278597903055995</v>
      </c>
      <c r="I8" s="31">
        <f>'Table 1'!H9+'Table 1'!Y9</f>
        <v>0</v>
      </c>
      <c r="J8" s="6"/>
    </row>
    <row r="9" spans="1:10" ht="15.5" x14ac:dyDescent="0.35">
      <c r="A9" s="3" t="s">
        <v>36</v>
      </c>
      <c r="B9" s="10">
        <f t="shared" si="0"/>
        <v>-9.1736920575122893E-2</v>
      </c>
      <c r="C9" s="6">
        <f t="shared" si="1"/>
        <v>-0.15488730501855927</v>
      </c>
      <c r="D9" s="31">
        <f>'Table 1'!F10+'Table 1'!I10</f>
        <v>-0.29711928009531496</v>
      </c>
      <c r="E9" s="31">
        <f>'Table 1'!P10+'Table 1'!T10</f>
        <v>0.1422319750767557</v>
      </c>
      <c r="F9" s="6">
        <f>'Table 1'!G10+'Table 1'!N10+'Table 1'!S10+'Table 1'!AB10</f>
        <v>0.43877707825077872</v>
      </c>
      <c r="G9" s="6">
        <f>'Table 1'!O10+'Table 1'!V10</f>
        <v>-0.43316633730465004</v>
      </c>
      <c r="H9" s="6">
        <f>'Table 1'!Z10+'Table 1'!AA10</f>
        <v>5.7539643497307703E-2</v>
      </c>
      <c r="I9" s="31">
        <f>'Table 1'!H10+'Table 1'!Y10</f>
        <v>0</v>
      </c>
      <c r="J9" s="6"/>
    </row>
    <row r="10" spans="1:10" ht="15.5" x14ac:dyDescent="0.35">
      <c r="A10" s="3" t="s">
        <v>37</v>
      </c>
      <c r="B10" s="10">
        <f t="shared" si="0"/>
        <v>-0.28654626864725863</v>
      </c>
      <c r="C10" s="6">
        <f t="shared" si="1"/>
        <v>-0.10047625706195001</v>
      </c>
      <c r="D10" s="31">
        <f>'Table 1'!F11+'Table 1'!I11</f>
        <v>-0.32680210942594401</v>
      </c>
      <c r="E10" s="31">
        <f>'Table 1'!P11+'Table 1'!T11</f>
        <v>0.226325852363994</v>
      </c>
      <c r="F10" s="6">
        <f>'Table 1'!G11+'Table 1'!N11+'Table 1'!S11+'Table 1'!AB11</f>
        <v>0.30973762969045521</v>
      </c>
      <c r="G10" s="6">
        <f>'Table 1'!O11+'Table 1'!V11</f>
        <v>-0.4305621152693464</v>
      </c>
      <c r="H10" s="6">
        <f>'Table 1'!Z11+'Table 1'!AA11</f>
        <v>-6.5245526006417393E-2</v>
      </c>
      <c r="I10" s="31">
        <f>'Table 1'!H11+'Table 1'!Y11</f>
        <v>0</v>
      </c>
      <c r="J10" s="6"/>
    </row>
    <row r="11" spans="1:10" ht="15.5" x14ac:dyDescent="0.35">
      <c r="A11" s="3" t="s">
        <v>38</v>
      </c>
      <c r="B11" s="10">
        <f t="shared" si="0"/>
        <v>-0.45015489508557255</v>
      </c>
      <c r="C11" s="6">
        <f t="shared" si="1"/>
        <v>-0.26411247564074875</v>
      </c>
      <c r="D11" s="31">
        <f>'Table 1'!F12+'Table 1'!I12</f>
        <v>-0.25810447819773552</v>
      </c>
      <c r="E11" s="31">
        <f>'Table 1'!P12+'Table 1'!T12</f>
        <v>-6.0079974430132244E-3</v>
      </c>
      <c r="F11" s="6">
        <f>'Table 1'!G12+'Table 1'!N12+'Table 1'!S12+'Table 1'!AB12</f>
        <v>0.42261550441372159</v>
      </c>
      <c r="G11" s="6">
        <f>'Table 1'!O12+'Table 1'!V12</f>
        <v>-0.32860907638783698</v>
      </c>
      <c r="H11" s="6">
        <f>'Table 1'!Z12+'Table 1'!AA12</f>
        <v>-0.28004884747070841</v>
      </c>
      <c r="I11" s="31">
        <f>'Table 1'!H12+'Table 1'!Y12</f>
        <v>0</v>
      </c>
      <c r="J11" s="6"/>
    </row>
    <row r="12" spans="1:10" ht="15.5" x14ac:dyDescent="0.35">
      <c r="A12" s="3" t="s">
        <v>39</v>
      </c>
      <c r="B12" s="10">
        <f t="shared" si="0"/>
        <v>-0.40695095551175497</v>
      </c>
      <c r="C12" s="6">
        <f t="shared" si="1"/>
        <v>-0.24976542526004508</v>
      </c>
      <c r="D12" s="31">
        <f>'Table 1'!F13+'Table 1'!I13</f>
        <v>-0.29344126474194998</v>
      </c>
      <c r="E12" s="31">
        <f>'Table 1'!P13+'Table 1'!T13</f>
        <v>4.3675839481904899E-2</v>
      </c>
      <c r="F12" s="6">
        <f>'Table 1'!G13+'Table 1'!N13+'Table 1'!S13+'Table 1'!AB13</f>
        <v>0.41584182744706077</v>
      </c>
      <c r="G12" s="6">
        <f>'Table 1'!O13+'Table 1'!V13</f>
        <v>-0.19828519535452022</v>
      </c>
      <c r="H12" s="6">
        <f>'Table 1'!Z13+'Table 1'!AA13</f>
        <v>-0.37474216234425045</v>
      </c>
      <c r="I12" s="31">
        <f>'Table 1'!H13+'Table 1'!Y13</f>
        <v>0</v>
      </c>
      <c r="J12" s="6"/>
    </row>
  </sheetData>
  <mergeCells count="1">
    <mergeCell ref="D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2899-D8B6-42FD-99DE-37AA46514A1B}">
  <dimension ref="A1:AE38"/>
  <sheetViews>
    <sheetView topLeftCell="K1" workbookViewId="0">
      <selection activeCell="AD10" sqref="AD10"/>
    </sheetView>
  </sheetViews>
  <sheetFormatPr defaultRowHeight="14.5" x14ac:dyDescent="0.35"/>
  <cols>
    <col min="2" max="2" width="12.54296875" customWidth="1"/>
    <col min="4" max="4" width="12" customWidth="1"/>
    <col min="5" max="5" width="16.1796875" customWidth="1"/>
    <col min="6" max="12" width="12.7265625" customWidth="1"/>
    <col min="13" max="13" width="16" customWidth="1"/>
    <col min="14" max="20" width="12.7265625" customWidth="1"/>
    <col min="21" max="21" width="13.7265625" customWidth="1"/>
    <col min="22" max="22" width="12.7265625" customWidth="1"/>
    <col min="24" max="24" width="12.1796875" customWidth="1"/>
    <col min="25" max="25" width="16.1796875" customWidth="1"/>
    <col min="28" max="28" width="12.1796875" customWidth="1"/>
    <col min="29" max="29" width="14" customWidth="1"/>
  </cols>
  <sheetData>
    <row r="1" spans="1:31" x14ac:dyDescent="0.35">
      <c r="D1" s="55" t="s">
        <v>55</v>
      </c>
      <c r="E1" s="55"/>
      <c r="F1" s="55"/>
      <c r="G1" s="21"/>
      <c r="H1" s="53" t="s">
        <v>56</v>
      </c>
      <c r="I1" s="53"/>
      <c r="J1" s="53"/>
      <c r="L1" s="56" t="s">
        <v>57</v>
      </c>
      <c r="M1" s="56"/>
      <c r="N1" s="56"/>
      <c r="O1" s="28"/>
      <c r="P1" s="56" t="s">
        <v>58</v>
      </c>
      <c r="Q1" s="56"/>
      <c r="R1" s="56"/>
      <c r="T1" s="57" t="s">
        <v>59</v>
      </c>
      <c r="U1" s="57"/>
      <c r="V1" s="57"/>
      <c r="X1" s="53" t="s">
        <v>60</v>
      </c>
      <c r="Y1" s="53"/>
      <c r="Z1" s="53"/>
      <c r="AB1" s="53" t="s">
        <v>61</v>
      </c>
      <c r="AC1" s="53"/>
      <c r="AD1" s="53"/>
    </row>
    <row r="2" spans="1:31" x14ac:dyDescent="0.35">
      <c r="D2" s="54" t="s">
        <v>62</v>
      </c>
      <c r="E2" s="54"/>
      <c r="F2" s="54"/>
      <c r="G2" s="29"/>
      <c r="H2" s="54" t="s">
        <v>63</v>
      </c>
      <c r="I2" s="54"/>
      <c r="J2" s="54"/>
      <c r="K2" s="29"/>
      <c r="L2" s="54" t="s">
        <v>64</v>
      </c>
      <c r="M2" s="54"/>
      <c r="N2" s="54"/>
      <c r="O2" s="29"/>
      <c r="P2" s="54" t="s">
        <v>64</v>
      </c>
      <c r="Q2" s="54"/>
      <c r="R2" s="54"/>
      <c r="S2" s="29"/>
      <c r="T2" s="54" t="s">
        <v>28</v>
      </c>
      <c r="U2" s="54"/>
      <c r="V2" s="54"/>
      <c r="W2" s="20"/>
      <c r="X2" s="54" t="s">
        <v>65</v>
      </c>
      <c r="Y2" s="54"/>
      <c r="Z2" s="54"/>
      <c r="AA2" s="20"/>
      <c r="AB2" s="54" t="s">
        <v>66</v>
      </c>
      <c r="AC2" s="54"/>
      <c r="AD2" s="54"/>
    </row>
    <row r="3" spans="1:31" s="27" customFormat="1" ht="29" x14ac:dyDescent="0.35">
      <c r="A3" s="27" t="s">
        <v>67</v>
      </c>
      <c r="B3" s="2" t="s">
        <v>68</v>
      </c>
      <c r="D3" s="30" t="s">
        <v>69</v>
      </c>
      <c r="E3" s="30" t="s">
        <v>70</v>
      </c>
      <c r="F3" s="30" t="s">
        <v>71</v>
      </c>
      <c r="G3" s="2"/>
      <c r="H3" s="30" t="s">
        <v>69</v>
      </c>
      <c r="I3" s="30" t="s">
        <v>70</v>
      </c>
      <c r="J3" s="30" t="s">
        <v>71</v>
      </c>
      <c r="K3" s="2"/>
      <c r="L3" s="30" t="s">
        <v>69</v>
      </c>
      <c r="M3" s="30" t="s">
        <v>70</v>
      </c>
      <c r="N3" s="30" t="s">
        <v>71</v>
      </c>
      <c r="O3" s="2"/>
      <c r="P3" s="30" t="s">
        <v>69</v>
      </c>
      <c r="Q3" s="30" t="s">
        <v>70</v>
      </c>
      <c r="R3" s="30" t="s">
        <v>71</v>
      </c>
      <c r="S3" s="2"/>
      <c r="T3" s="30" t="s">
        <v>69</v>
      </c>
      <c r="U3" s="30" t="s">
        <v>70</v>
      </c>
      <c r="V3" s="30" t="s">
        <v>71</v>
      </c>
      <c r="W3" s="2"/>
      <c r="X3" s="30" t="s">
        <v>69</v>
      </c>
      <c r="Y3" s="30" t="s">
        <v>70</v>
      </c>
      <c r="Z3" s="30" t="s">
        <v>71</v>
      </c>
      <c r="AB3" s="30" t="s">
        <v>69</v>
      </c>
      <c r="AC3" s="30" t="s">
        <v>70</v>
      </c>
      <c r="AD3" s="30" t="s">
        <v>71</v>
      </c>
    </row>
    <row r="4" spans="1:31" x14ac:dyDescent="0.35">
      <c r="A4" t="s">
        <v>72</v>
      </c>
      <c r="B4" s="31">
        <f t="shared" ref="B4:B20" si="0">F4+J4+N4+R4+V4+Z4+AD4</f>
        <v>0</v>
      </c>
      <c r="D4" s="31">
        <v>0.40168306970290102</v>
      </c>
      <c r="E4" s="31">
        <v>0.40168306970290102</v>
      </c>
      <c r="F4" s="31">
        <f t="shared" ref="F4:F20" si="1">D4-E4</f>
        <v>0</v>
      </c>
      <c r="G4" s="31"/>
      <c r="H4" s="31">
        <v>-8.21940867312759E-2</v>
      </c>
      <c r="I4" s="31">
        <v>-8.21940867312759E-2</v>
      </c>
      <c r="J4" s="31">
        <f t="shared" ref="J4:J20" si="2">H4-I4</f>
        <v>0</v>
      </c>
      <c r="L4" s="31">
        <v>0.171036490137769</v>
      </c>
      <c r="M4" s="31">
        <v>0.171036490137769</v>
      </c>
      <c r="N4" s="31">
        <f t="shared" ref="N4:N20" si="3">L4-M4</f>
        <v>0</v>
      </c>
      <c r="O4" s="31"/>
      <c r="P4" s="31">
        <v>0.10677013991119801</v>
      </c>
      <c r="Q4" s="31">
        <v>0.10677013991119801</v>
      </c>
      <c r="R4" s="31">
        <f t="shared" ref="R4:R20" si="4">P4-Q4</f>
        <v>0</v>
      </c>
      <c r="S4" s="32"/>
      <c r="T4" s="33">
        <v>-8.0992848567109695E-3</v>
      </c>
      <c r="U4" s="31">
        <v>-8.0992848567109695E-3</v>
      </c>
      <c r="V4" s="31">
        <f t="shared" ref="V4:V20" si="5">T4-U4</f>
        <v>0</v>
      </c>
      <c r="W4" s="34"/>
      <c r="X4" s="31">
        <v>-0.14802611157274501</v>
      </c>
      <c r="Y4" s="34">
        <v>-0.14802611157274501</v>
      </c>
      <c r="Z4" s="31">
        <f t="shared" ref="Z4:Z20" si="6">X4-Y4</f>
        <v>0</v>
      </c>
      <c r="AA4" s="31"/>
      <c r="AB4" s="31">
        <v>-0.110305489658881</v>
      </c>
      <c r="AC4" s="31">
        <v>-0.110305489658881</v>
      </c>
      <c r="AD4" s="31">
        <f t="shared" ref="AD4:AD20" si="7">AB4-AC4</f>
        <v>0</v>
      </c>
    </row>
    <row r="5" spans="1:31" x14ac:dyDescent="0.35">
      <c r="A5" t="s">
        <v>73</v>
      </c>
      <c r="B5" s="31">
        <f t="shared" si="0"/>
        <v>0</v>
      </c>
      <c r="D5" s="31">
        <v>0.113357457258702</v>
      </c>
      <c r="E5" s="31">
        <v>0.113357457258702</v>
      </c>
      <c r="F5" s="31">
        <f t="shared" si="1"/>
        <v>0</v>
      </c>
      <c r="G5" s="31"/>
      <c r="H5" s="31">
        <v>-5.91532101359378E-2</v>
      </c>
      <c r="I5" s="31">
        <v>-5.91532101359378E-2</v>
      </c>
      <c r="J5" s="31">
        <f t="shared" si="2"/>
        <v>0</v>
      </c>
      <c r="L5" s="31">
        <v>-8.0930364752975201E-2</v>
      </c>
      <c r="M5" s="31">
        <v>-8.0930364752975201E-2</v>
      </c>
      <c r="N5" s="31">
        <f t="shared" si="3"/>
        <v>0</v>
      </c>
      <c r="O5" s="31"/>
      <c r="P5" s="31">
        <v>0.246367721831767</v>
      </c>
      <c r="Q5" s="31">
        <v>0.246367721831767</v>
      </c>
      <c r="R5" s="31">
        <f t="shared" si="4"/>
        <v>0</v>
      </c>
      <c r="S5" s="32"/>
      <c r="T5" s="33">
        <v>-0.13797271237506301</v>
      </c>
      <c r="U5" s="31">
        <v>-0.13797271237506301</v>
      </c>
      <c r="V5" s="31">
        <f t="shared" si="5"/>
        <v>0</v>
      </c>
      <c r="W5" s="52"/>
      <c r="X5" s="31">
        <v>0.29138772747964098</v>
      </c>
      <c r="Y5" s="34">
        <v>0.29138772747964098</v>
      </c>
      <c r="Z5" s="31">
        <f t="shared" si="6"/>
        <v>0</v>
      </c>
      <c r="AA5" s="31"/>
      <c r="AB5" s="31">
        <v>-3.5337896134434499E-2</v>
      </c>
      <c r="AC5" s="31">
        <v>-3.5337896134434499E-2</v>
      </c>
      <c r="AD5" s="31">
        <f t="shared" si="7"/>
        <v>0</v>
      </c>
    </row>
    <row r="6" spans="1:31" x14ac:dyDescent="0.35">
      <c r="A6" t="s">
        <v>74</v>
      </c>
      <c r="B6" s="31">
        <f t="shared" si="0"/>
        <v>0</v>
      </c>
      <c r="D6" s="31">
        <v>8.4390722113830099E-2</v>
      </c>
      <c r="E6" s="31">
        <v>8.4390722113830099E-2</v>
      </c>
      <c r="F6" s="31">
        <f t="shared" si="1"/>
        <v>0</v>
      </c>
      <c r="G6" s="31"/>
      <c r="H6" s="31">
        <v>-7.1699905905479602E-2</v>
      </c>
      <c r="I6" s="31">
        <v>-7.1699905905479602E-2</v>
      </c>
      <c r="J6" s="31">
        <f t="shared" si="2"/>
        <v>0</v>
      </c>
      <c r="L6" s="31">
        <v>5.7480661108821697E-2</v>
      </c>
      <c r="M6" s="31">
        <v>5.7480661108821697E-2</v>
      </c>
      <c r="N6" s="31">
        <f t="shared" si="3"/>
        <v>0</v>
      </c>
      <c r="O6" s="31"/>
      <c r="P6" s="31">
        <v>7.3497892891865396E-2</v>
      </c>
      <c r="Q6" s="31">
        <v>7.3497892891865396E-2</v>
      </c>
      <c r="R6" s="31">
        <f t="shared" si="4"/>
        <v>0</v>
      </c>
      <c r="S6" s="32"/>
      <c r="T6" s="33">
        <v>-0.112668281418978</v>
      </c>
      <c r="U6" s="31">
        <v>-0.112668281418978</v>
      </c>
      <c r="V6" s="31">
        <f t="shared" si="5"/>
        <v>0</v>
      </c>
      <c r="W6" s="52"/>
      <c r="X6" s="31">
        <v>7.0409518749265695E-2</v>
      </c>
      <c r="Y6" s="34">
        <v>7.0409518749265695E-2</v>
      </c>
      <c r="Z6" s="31">
        <f t="shared" si="6"/>
        <v>0</v>
      </c>
      <c r="AA6" s="31"/>
      <c r="AB6" s="31">
        <v>-0.20119765322797301</v>
      </c>
      <c r="AC6" s="31">
        <v>-0.20119765322797301</v>
      </c>
      <c r="AD6" s="31">
        <f t="shared" si="7"/>
        <v>0</v>
      </c>
    </row>
    <row r="7" spans="1:31" x14ac:dyDescent="0.35">
      <c r="A7" t="s">
        <v>75</v>
      </c>
      <c r="B7" s="31">
        <f t="shared" si="0"/>
        <v>0</v>
      </c>
      <c r="D7" s="31">
        <v>0.49002857232950098</v>
      </c>
      <c r="E7" s="31">
        <v>0.49002857232950098</v>
      </c>
      <c r="F7" s="31">
        <f t="shared" si="1"/>
        <v>0</v>
      </c>
      <c r="G7" s="31"/>
      <c r="H7" s="31">
        <v>-6.0391933673744902E-2</v>
      </c>
      <c r="I7" s="31">
        <v>-6.0391933673744902E-2</v>
      </c>
      <c r="J7" s="31">
        <f t="shared" si="2"/>
        <v>0</v>
      </c>
      <c r="L7" s="31">
        <v>-0.139181652755761</v>
      </c>
      <c r="M7" s="31">
        <v>-0.139181652755761</v>
      </c>
      <c r="N7" s="31">
        <f t="shared" si="3"/>
        <v>0</v>
      </c>
      <c r="O7" s="31"/>
      <c r="P7" s="31">
        <v>0.13055531739648699</v>
      </c>
      <c r="Q7" s="31">
        <v>0.13055531739648699</v>
      </c>
      <c r="R7" s="31">
        <f t="shared" si="4"/>
        <v>0</v>
      </c>
      <c r="S7" s="32"/>
      <c r="T7" s="33">
        <v>-0.104470891080262</v>
      </c>
      <c r="U7" s="31">
        <v>-0.104470891080262</v>
      </c>
      <c r="V7" s="31">
        <f t="shared" si="5"/>
        <v>0</v>
      </c>
      <c r="W7" s="35"/>
      <c r="X7" s="31">
        <v>-9.5656904722252106E-2</v>
      </c>
      <c r="Y7" s="34">
        <v>-9.5656904722252106E-2</v>
      </c>
      <c r="Z7" s="31">
        <f t="shared" si="6"/>
        <v>0</v>
      </c>
      <c r="AA7" s="31"/>
      <c r="AB7" s="31">
        <v>-1.5431334318346699E-2</v>
      </c>
      <c r="AC7" s="31">
        <v>-1.5431334318346699E-2</v>
      </c>
      <c r="AD7" s="31">
        <f t="shared" si="7"/>
        <v>0</v>
      </c>
    </row>
    <row r="8" spans="1:31" x14ac:dyDescent="0.35">
      <c r="A8" t="s">
        <v>76</v>
      </c>
      <c r="B8" s="31">
        <f t="shared" si="0"/>
        <v>0</v>
      </c>
      <c r="D8" s="31">
        <v>0.350634639232693</v>
      </c>
      <c r="E8" s="31">
        <v>0.350634639232693</v>
      </c>
      <c r="F8" s="31">
        <f t="shared" si="1"/>
        <v>0</v>
      </c>
      <c r="G8" s="31"/>
      <c r="H8" s="31">
        <v>-4.6919376760871503E-2</v>
      </c>
      <c r="I8" s="31">
        <v>-4.6919376760871503E-2</v>
      </c>
      <c r="J8" s="31">
        <f t="shared" si="2"/>
        <v>0</v>
      </c>
      <c r="L8" s="31">
        <v>-0.10798661114378599</v>
      </c>
      <c r="M8" s="31">
        <v>-0.10798661114378599</v>
      </c>
      <c r="N8" s="31">
        <f t="shared" si="3"/>
        <v>0</v>
      </c>
      <c r="O8" s="31"/>
      <c r="P8" s="31">
        <v>0.112651604454477</v>
      </c>
      <c r="Q8" s="31">
        <v>0.112651604454477</v>
      </c>
      <c r="R8" s="31">
        <f t="shared" si="4"/>
        <v>0</v>
      </c>
      <c r="S8" s="32"/>
      <c r="T8" s="33">
        <v>-9.6103418388998496E-2</v>
      </c>
      <c r="U8" s="31">
        <v>-9.6103418388998496E-2</v>
      </c>
      <c r="V8" s="31">
        <f t="shared" si="5"/>
        <v>0</v>
      </c>
      <c r="W8" s="36"/>
      <c r="X8" s="31">
        <v>0.12347864355657601</v>
      </c>
      <c r="Y8" s="34">
        <v>0.12347864355657601</v>
      </c>
      <c r="Z8" s="31">
        <f t="shared" si="6"/>
        <v>0</v>
      </c>
      <c r="AA8" s="31"/>
      <c r="AB8" s="31">
        <v>0.17944505351008599</v>
      </c>
      <c r="AC8" s="31">
        <v>0.17944505351008599</v>
      </c>
      <c r="AD8" s="31">
        <f t="shared" si="7"/>
        <v>0</v>
      </c>
    </row>
    <row r="9" spans="1:31" x14ac:dyDescent="0.35">
      <c r="A9" t="s">
        <v>77</v>
      </c>
      <c r="B9" s="31">
        <f t="shared" si="0"/>
        <v>0</v>
      </c>
      <c r="D9" s="31">
        <v>0.26769889286291498</v>
      </c>
      <c r="E9" s="31">
        <v>0.26769889286291498</v>
      </c>
      <c r="F9" s="31">
        <f t="shared" si="1"/>
        <v>0</v>
      </c>
      <c r="G9" s="31"/>
      <c r="H9" s="31">
        <v>-4.3703023830997202E-2</v>
      </c>
      <c r="I9" s="31">
        <v>-4.3703023830997202E-2</v>
      </c>
      <c r="J9" s="31">
        <f t="shared" si="2"/>
        <v>0</v>
      </c>
      <c r="L9" s="31">
        <v>0.20674711777249699</v>
      </c>
      <c r="M9" s="31">
        <v>0.20674711777249699</v>
      </c>
      <c r="N9" s="31">
        <f t="shared" si="3"/>
        <v>0</v>
      </c>
      <c r="O9" s="31"/>
      <c r="P9" s="31">
        <v>4.4619556639790899E-2</v>
      </c>
      <c r="Q9" s="31">
        <v>4.4619556639790899E-2</v>
      </c>
      <c r="R9" s="31">
        <f t="shared" si="4"/>
        <v>0</v>
      </c>
      <c r="S9" s="32"/>
      <c r="T9" s="33">
        <v>-5.5729672642463098E-2</v>
      </c>
      <c r="U9" s="31">
        <v>-5.5729672642463098E-2</v>
      </c>
      <c r="V9" s="31">
        <f t="shared" si="5"/>
        <v>0</v>
      </c>
      <c r="W9" s="36"/>
      <c r="X9" s="31">
        <v>0.40650570357638799</v>
      </c>
      <c r="Y9" s="34">
        <v>0.40650570357638799</v>
      </c>
      <c r="Z9" s="31">
        <f t="shared" si="6"/>
        <v>0</v>
      </c>
      <c r="AA9" s="31"/>
      <c r="AB9" s="31">
        <v>0.262851861848517</v>
      </c>
      <c r="AC9" s="31">
        <v>0.262851861848517</v>
      </c>
      <c r="AD9" s="31">
        <f t="shared" si="7"/>
        <v>0</v>
      </c>
    </row>
    <row r="10" spans="1:31" x14ac:dyDescent="0.35">
      <c r="A10" t="s">
        <v>78</v>
      </c>
      <c r="B10" s="31">
        <f t="shared" si="0"/>
        <v>0</v>
      </c>
      <c r="D10" s="31">
        <v>0.26578106401662999</v>
      </c>
      <c r="E10" s="31">
        <v>0.26578106401662999</v>
      </c>
      <c r="F10" s="31">
        <f t="shared" si="1"/>
        <v>0</v>
      </c>
      <c r="G10" s="31"/>
      <c r="H10" s="31">
        <v>-3.4339266354473298E-2</v>
      </c>
      <c r="I10" s="31">
        <v>-3.4339266354473298E-2</v>
      </c>
      <c r="J10" s="31">
        <f t="shared" si="2"/>
        <v>0</v>
      </c>
      <c r="L10" s="31">
        <v>0.14998115565769099</v>
      </c>
      <c r="M10" s="31">
        <v>0.14998115565769099</v>
      </c>
      <c r="N10" s="31">
        <f t="shared" si="3"/>
        <v>0</v>
      </c>
      <c r="O10" s="31"/>
      <c r="P10" s="31">
        <v>0.15091666254341701</v>
      </c>
      <c r="Q10" s="31">
        <v>0.15091666254341701</v>
      </c>
      <c r="R10" s="31">
        <f t="shared" si="4"/>
        <v>0</v>
      </c>
      <c r="S10" s="32"/>
      <c r="T10" s="33">
        <v>-3.0672088360098701E-2</v>
      </c>
      <c r="U10" s="31">
        <v>-3.0672088360098701E-2</v>
      </c>
      <c r="V10" s="31">
        <f t="shared" si="5"/>
        <v>0</v>
      </c>
      <c r="W10" s="36"/>
      <c r="X10" s="31">
        <v>0.133873781721287</v>
      </c>
      <c r="Y10" s="34">
        <v>0.133873781721287</v>
      </c>
      <c r="Z10" s="31">
        <f t="shared" si="6"/>
        <v>0</v>
      </c>
      <c r="AA10" s="31"/>
      <c r="AB10" s="31">
        <v>0.27225397073088298</v>
      </c>
      <c r="AC10" s="31">
        <v>0.27225397073088298</v>
      </c>
      <c r="AD10" s="31">
        <f t="shared" si="7"/>
        <v>0</v>
      </c>
    </row>
    <row r="11" spans="1:31" x14ac:dyDescent="0.35">
      <c r="A11" t="s">
        <v>79</v>
      </c>
      <c r="B11" s="31">
        <f t="shared" si="0"/>
        <v>0</v>
      </c>
      <c r="D11" s="31">
        <v>-6.8923507981179702E-2</v>
      </c>
      <c r="E11" s="31">
        <v>-6.8923507981179702E-2</v>
      </c>
      <c r="F11" s="31">
        <f t="shared" si="1"/>
        <v>0</v>
      </c>
      <c r="G11" s="31"/>
      <c r="H11" s="31">
        <v>-4.2648201337320401E-3</v>
      </c>
      <c r="I11" s="31">
        <v>-4.2648201337320401E-3</v>
      </c>
      <c r="J11" s="31">
        <f t="shared" si="2"/>
        <v>0</v>
      </c>
      <c r="L11" s="31">
        <v>0.103999770504797</v>
      </c>
      <c r="M11" s="31">
        <v>0.103999770504797</v>
      </c>
      <c r="N11" s="31">
        <f t="shared" si="3"/>
        <v>0</v>
      </c>
      <c r="O11" s="31"/>
      <c r="P11" s="31">
        <v>2.61260701306016E-3</v>
      </c>
      <c r="Q11" s="31">
        <v>2.61260701306016E-3</v>
      </c>
      <c r="R11" s="31">
        <f t="shared" si="4"/>
        <v>0</v>
      </c>
      <c r="S11" s="32"/>
      <c r="T11" s="33">
        <v>-3.0099482833375799E-2</v>
      </c>
      <c r="U11" s="31">
        <v>-3.0099482833375799E-2</v>
      </c>
      <c r="V11" s="31">
        <f t="shared" si="5"/>
        <v>0</v>
      </c>
      <c r="W11" s="36"/>
      <c r="X11" s="31">
        <v>-0.51945344220673595</v>
      </c>
      <c r="Y11" s="34">
        <v>-0.51945344220673595</v>
      </c>
      <c r="Z11" s="31">
        <f t="shared" si="6"/>
        <v>0</v>
      </c>
      <c r="AA11" s="31"/>
      <c r="AB11" s="31">
        <v>0.18178302235421301</v>
      </c>
      <c r="AC11" s="31">
        <v>0.18178302235421301</v>
      </c>
      <c r="AD11" s="31">
        <f t="shared" si="7"/>
        <v>0</v>
      </c>
    </row>
    <row r="12" spans="1:31" x14ac:dyDescent="0.35">
      <c r="A12" t="s">
        <v>31</v>
      </c>
      <c r="B12" s="31">
        <f t="shared" si="0"/>
        <v>0</v>
      </c>
      <c r="D12" s="31">
        <v>-0.49360351627841198</v>
      </c>
      <c r="E12" s="31">
        <v>-0.49360351627841198</v>
      </c>
      <c r="F12" s="31">
        <f t="shared" si="1"/>
        <v>0</v>
      </c>
      <c r="G12" s="31"/>
      <c r="H12" s="31">
        <v>7.0579943690931299E-3</v>
      </c>
      <c r="I12" s="31">
        <v>7.0579943690931299E-3</v>
      </c>
      <c r="J12" s="31">
        <f t="shared" si="2"/>
        <v>0</v>
      </c>
      <c r="L12" s="31">
        <v>0.285016460293538</v>
      </c>
      <c r="M12" s="31">
        <v>0.285016460293538</v>
      </c>
      <c r="N12" s="31">
        <f t="shared" si="3"/>
        <v>0</v>
      </c>
      <c r="O12" s="31"/>
      <c r="P12" s="31">
        <v>-2.99527412765348E-2</v>
      </c>
      <c r="Q12" s="31">
        <v>-2.99527412765348E-2</v>
      </c>
      <c r="R12" s="31">
        <f t="shared" si="4"/>
        <v>0</v>
      </c>
      <c r="S12" s="32"/>
      <c r="T12" s="33">
        <v>-2.3738219379538301E-2</v>
      </c>
      <c r="U12" s="31">
        <v>-2.3738219379538301E-2</v>
      </c>
      <c r="V12" s="31">
        <f t="shared" si="5"/>
        <v>0</v>
      </c>
      <c r="W12" s="36"/>
      <c r="X12" s="31">
        <v>-0.49659070787292697</v>
      </c>
      <c r="Y12" s="34">
        <v>-0.49659070787292697</v>
      </c>
      <c r="Z12" s="31">
        <f t="shared" si="6"/>
        <v>0</v>
      </c>
      <c r="AA12" s="31"/>
      <c r="AB12" s="31">
        <v>0.46724310870124203</v>
      </c>
      <c r="AC12" s="31">
        <v>0.46724310870124203</v>
      </c>
      <c r="AD12" s="31">
        <f t="shared" si="7"/>
        <v>0</v>
      </c>
    </row>
    <row r="13" spans="1:31" x14ac:dyDescent="0.35">
      <c r="A13" t="s">
        <v>32</v>
      </c>
      <c r="B13" s="31">
        <f t="shared" si="0"/>
        <v>0.59760264642189731</v>
      </c>
      <c r="C13" s="1"/>
      <c r="D13" s="31">
        <v>-0.225617648258191</v>
      </c>
      <c r="E13" s="31">
        <v>-0.414381626409276</v>
      </c>
      <c r="F13" s="31">
        <f t="shared" si="1"/>
        <v>0.188763978151085</v>
      </c>
      <c r="G13" s="31"/>
      <c r="H13" s="31">
        <v>0.18570531800002099</v>
      </c>
      <c r="I13" s="31">
        <v>5.6885468426966001E-3</v>
      </c>
      <c r="J13" s="31">
        <f t="shared" si="2"/>
        <v>0.1800167711573244</v>
      </c>
      <c r="K13" s="1"/>
      <c r="L13" s="31">
        <v>0.22450059422556301</v>
      </c>
      <c r="M13" s="31">
        <v>0.22450059422556301</v>
      </c>
      <c r="N13" s="31">
        <f t="shared" si="3"/>
        <v>0</v>
      </c>
      <c r="O13" s="31"/>
      <c r="P13" s="31">
        <v>1.9343238159436999E-3</v>
      </c>
      <c r="Q13" s="31">
        <v>1.9343238159436999E-3</v>
      </c>
      <c r="R13" s="31">
        <f t="shared" si="4"/>
        <v>0</v>
      </c>
      <c r="S13" s="32"/>
      <c r="T13" s="33">
        <v>-2.9638323362874801E-2</v>
      </c>
      <c r="U13" s="31">
        <v>9.9183752678764695E-5</v>
      </c>
      <c r="V13" s="31">
        <f t="shared" si="5"/>
        <v>-2.9737507115553567E-2</v>
      </c>
      <c r="W13" s="36"/>
      <c r="X13" s="31">
        <v>1.83533240147938E-3</v>
      </c>
      <c r="Y13" s="34">
        <v>-0.25672407182756202</v>
      </c>
      <c r="Z13" s="31">
        <f t="shared" si="6"/>
        <v>0.25855940422904139</v>
      </c>
      <c r="AA13" s="31"/>
      <c r="AB13" s="31">
        <v>0.26976939094510399</v>
      </c>
      <c r="AC13" s="31">
        <v>0.26976939094510399</v>
      </c>
      <c r="AD13" s="31">
        <f t="shared" si="7"/>
        <v>0</v>
      </c>
      <c r="AE13" s="1"/>
    </row>
    <row r="14" spans="1:31" x14ac:dyDescent="0.35">
      <c r="A14" t="s">
        <v>33</v>
      </c>
      <c r="B14" s="31">
        <f t="shared" si="0"/>
        <v>0.32873849962805241</v>
      </c>
      <c r="C14" s="1"/>
      <c r="D14" s="31">
        <v>-0.18376482299076699</v>
      </c>
      <c r="E14" s="31">
        <v>-0.36899443706361301</v>
      </c>
      <c r="F14" s="31">
        <f t="shared" si="1"/>
        <v>0.18522961407284602</v>
      </c>
      <c r="G14" s="31"/>
      <c r="H14" s="31">
        <v>6.5942042814213703E-2</v>
      </c>
      <c r="I14" s="31">
        <v>4.6392729159142497E-3</v>
      </c>
      <c r="J14" s="31">
        <f t="shared" si="2"/>
        <v>6.1302769898299456E-2</v>
      </c>
      <c r="K14" s="1"/>
      <c r="L14" s="31">
        <v>0.22947080428754399</v>
      </c>
      <c r="M14" s="31">
        <v>0.22947080428754399</v>
      </c>
      <c r="N14" s="31">
        <f t="shared" si="3"/>
        <v>0</v>
      </c>
      <c r="O14" s="31"/>
      <c r="P14" s="31">
        <v>2.0152617978004699E-2</v>
      </c>
      <c r="Q14" s="31">
        <v>2.0152617978004699E-2</v>
      </c>
      <c r="R14" s="31">
        <f t="shared" si="4"/>
        <v>0</v>
      </c>
      <c r="S14" s="32"/>
      <c r="T14" s="33">
        <v>-2.4548492152382501E-2</v>
      </c>
      <c r="U14" s="31">
        <v>8.8049722765629596E-5</v>
      </c>
      <c r="V14" s="31">
        <f t="shared" si="5"/>
        <v>-2.4636541875148129E-2</v>
      </c>
      <c r="W14" s="36"/>
      <c r="X14" s="31">
        <v>-0.40818665265298099</v>
      </c>
      <c r="Y14" s="34">
        <v>-0.53890896042332004</v>
      </c>
      <c r="Z14" s="31">
        <f t="shared" si="6"/>
        <v>0.13072230777033905</v>
      </c>
      <c r="AA14" s="31"/>
      <c r="AB14" s="31">
        <v>0.21821118449858201</v>
      </c>
      <c r="AC14" s="31">
        <v>0.24209083473686599</v>
      </c>
      <c r="AD14" s="31">
        <f t="shared" si="7"/>
        <v>-2.3879650238283978E-2</v>
      </c>
      <c r="AE14" s="1"/>
    </row>
    <row r="15" spans="1:31" x14ac:dyDescent="0.35">
      <c r="A15" t="s">
        <v>34</v>
      </c>
      <c r="B15" s="31">
        <f t="shared" si="0"/>
        <v>0.7445588262159557</v>
      </c>
      <c r="C15" s="1"/>
      <c r="D15" s="31">
        <v>-0.157889086807043</v>
      </c>
      <c r="E15" s="31">
        <v>-0.66605164662537797</v>
      </c>
      <c r="F15" s="31">
        <f t="shared" si="1"/>
        <v>0.50816255981833502</v>
      </c>
      <c r="G15" s="31"/>
      <c r="H15" s="31">
        <v>6.3538307727449006E-2</v>
      </c>
      <c r="I15" s="31">
        <v>3.9148396399947801E-3</v>
      </c>
      <c r="J15" s="31">
        <f t="shared" si="2"/>
        <v>5.9623468087454223E-2</v>
      </c>
      <c r="K15" s="1"/>
      <c r="L15" s="31">
        <v>0.27300490883686801</v>
      </c>
      <c r="M15" s="31">
        <v>0.27300490883686801</v>
      </c>
      <c r="N15" s="31">
        <f t="shared" si="3"/>
        <v>0</v>
      </c>
      <c r="O15" s="31"/>
      <c r="P15" s="31">
        <v>2.93317054991943E-2</v>
      </c>
      <c r="Q15" s="31">
        <v>2.93317054991943E-2</v>
      </c>
      <c r="R15" s="31">
        <f t="shared" si="4"/>
        <v>0</v>
      </c>
      <c r="S15" s="32"/>
      <c r="T15" s="33">
        <v>-2.2803875892856401E-2</v>
      </c>
      <c r="U15" s="31">
        <v>-1.7145974559277E-4</v>
      </c>
      <c r="V15" s="31">
        <f t="shared" si="5"/>
        <v>-2.2632416147263631E-2</v>
      </c>
      <c r="W15" s="36"/>
      <c r="X15" s="31">
        <v>0.89353248872401803</v>
      </c>
      <c r="Y15" s="34">
        <v>0.67078724466986295</v>
      </c>
      <c r="Z15" s="31">
        <f t="shared" si="6"/>
        <v>0.22274524405415508</v>
      </c>
      <c r="AA15" s="31"/>
      <c r="AB15" s="31">
        <v>0.150319148575252</v>
      </c>
      <c r="AC15" s="31">
        <v>0.17365917817197701</v>
      </c>
      <c r="AD15" s="31">
        <f t="shared" si="7"/>
        <v>-2.3340029596725015E-2</v>
      </c>
      <c r="AE15" s="1"/>
    </row>
    <row r="16" spans="1:31" x14ac:dyDescent="0.35">
      <c r="A16" t="s">
        <v>35</v>
      </c>
      <c r="B16" s="31">
        <f t="shared" si="0"/>
        <v>0.6407893655689888</v>
      </c>
      <c r="C16" s="1"/>
      <c r="D16" s="31">
        <v>-0.108594546287687</v>
      </c>
      <c r="E16" s="31">
        <v>-0.60953638599864701</v>
      </c>
      <c r="F16" s="31">
        <f t="shared" si="1"/>
        <v>0.50094183971095996</v>
      </c>
      <c r="G16" s="31"/>
      <c r="H16" s="31">
        <v>6.1199868765372603E-2</v>
      </c>
      <c r="I16" s="31">
        <v>3.0297408438642098E-3</v>
      </c>
      <c r="J16" s="31">
        <f t="shared" si="2"/>
        <v>5.8170127921508392E-2</v>
      </c>
      <c r="K16" s="1"/>
      <c r="L16" s="31">
        <v>0.186608335863096</v>
      </c>
      <c r="M16" s="31">
        <v>0.186608335863096</v>
      </c>
      <c r="N16" s="31">
        <f t="shared" si="3"/>
        <v>0</v>
      </c>
      <c r="O16" s="31"/>
      <c r="P16" s="31">
        <v>3.1639762071453803E-2</v>
      </c>
      <c r="Q16" s="31">
        <v>3.1639762071453803E-2</v>
      </c>
      <c r="R16" s="31">
        <f t="shared" si="4"/>
        <v>0</v>
      </c>
      <c r="S16" s="32"/>
      <c r="T16" s="33">
        <v>-2.0976970786457501E-2</v>
      </c>
      <c r="U16" s="31">
        <v>-1.99755982666422E-4</v>
      </c>
      <c r="V16" s="31">
        <f t="shared" si="5"/>
        <v>-2.0777214803791078E-2</v>
      </c>
      <c r="W16" s="36"/>
      <c r="X16" s="31">
        <v>2.5063031368209299E-2</v>
      </c>
      <c r="Y16" s="34">
        <v>-0.10034773664140199</v>
      </c>
      <c r="Z16" s="31">
        <f t="shared" si="6"/>
        <v>0.12541076800961129</v>
      </c>
      <c r="AA16" s="31"/>
      <c r="AB16" s="31">
        <v>-5.1940570295064298E-2</v>
      </c>
      <c r="AC16" s="31">
        <v>-2.8984415025764598E-2</v>
      </c>
      <c r="AD16" s="31">
        <f t="shared" si="7"/>
        <v>-2.29561552692997E-2</v>
      </c>
      <c r="AE16" s="1"/>
    </row>
    <row r="17" spans="1:31" x14ac:dyDescent="0.35">
      <c r="A17" t="s">
        <v>36</v>
      </c>
      <c r="B17" s="31">
        <f t="shared" si="0"/>
        <v>0.37877707825077872</v>
      </c>
      <c r="C17" s="1"/>
      <c r="D17" s="31">
        <v>-0.107081655066805</v>
      </c>
      <c r="E17" s="31">
        <v>-0.39356567686977401</v>
      </c>
      <c r="F17" s="31">
        <f t="shared" si="1"/>
        <v>0.286484021802969</v>
      </c>
      <c r="G17" s="31"/>
      <c r="H17" s="31">
        <v>6.6290283313533593E-2</v>
      </c>
      <c r="I17" s="31">
        <v>9.9076530341269693E-3</v>
      </c>
      <c r="J17" s="31">
        <f t="shared" si="2"/>
        <v>5.6382630279406626E-2</v>
      </c>
      <c r="K17" s="1"/>
      <c r="L17" s="31">
        <v>0.16994915028806101</v>
      </c>
      <c r="M17" s="31">
        <v>0.16994915028806101</v>
      </c>
      <c r="N17" s="31">
        <f t="shared" si="3"/>
        <v>0</v>
      </c>
      <c r="O17" s="31"/>
      <c r="P17" s="31">
        <v>5.6846796386391197E-3</v>
      </c>
      <c r="Q17" s="31">
        <v>5.6846796386391197E-3</v>
      </c>
      <c r="R17" s="31">
        <f t="shared" si="4"/>
        <v>0</v>
      </c>
      <c r="S17" s="32"/>
      <c r="T17" s="33">
        <v>-1.9015005404116901E-2</v>
      </c>
      <c r="U17" s="31">
        <v>-7.2697937252989599E-3</v>
      </c>
      <c r="V17" s="31">
        <f t="shared" si="5"/>
        <v>-1.1745211678817941E-2</v>
      </c>
      <c r="W17" s="36"/>
      <c r="X17" s="31">
        <v>-3.9419277329213298E-2</v>
      </c>
      <c r="Y17" s="34">
        <v>-0.109448577433232</v>
      </c>
      <c r="Z17" s="31">
        <f t="shared" si="6"/>
        <v>7.0029300104018699E-2</v>
      </c>
      <c r="AA17" s="31"/>
      <c r="AB17" s="31">
        <v>7.60708969489272E-2</v>
      </c>
      <c r="AC17" s="31">
        <v>9.8444559205724896E-2</v>
      </c>
      <c r="AD17" s="31">
        <f t="shared" si="7"/>
        <v>-2.2373662256797697E-2</v>
      </c>
      <c r="AE17" s="1"/>
    </row>
    <row r="18" spans="1:31" x14ac:dyDescent="0.35">
      <c r="A18" t="s">
        <v>37</v>
      </c>
      <c r="B18" s="31">
        <f t="shared" si="0"/>
        <v>0.24986750252143491</v>
      </c>
      <c r="C18" s="1"/>
      <c r="D18" s="31">
        <v>-8.53676104400794E-2</v>
      </c>
      <c r="E18" s="31">
        <v>-0.36820494568268503</v>
      </c>
      <c r="F18" s="31">
        <f t="shared" si="1"/>
        <v>0.28283733524260563</v>
      </c>
      <c r="G18" s="31"/>
      <c r="H18" s="31">
        <v>7.2346729876637594E-2</v>
      </c>
      <c r="I18" s="31">
        <v>1.7342576763045799E-2</v>
      </c>
      <c r="J18" s="31">
        <f t="shared" si="2"/>
        <v>5.5004153113591796E-2</v>
      </c>
      <c r="K18" s="1"/>
      <c r="L18" s="31">
        <v>0.115959358088856</v>
      </c>
      <c r="M18" s="31">
        <v>0.15170215264950801</v>
      </c>
      <c r="N18" s="31">
        <f t="shared" si="3"/>
        <v>-3.5742794560652005E-2</v>
      </c>
      <c r="O18" s="31"/>
      <c r="P18" s="31">
        <v>-7.1113242576673098E-3</v>
      </c>
      <c r="Q18" s="31">
        <v>1.02723138270698E-2</v>
      </c>
      <c r="R18" s="31">
        <f t="shared" si="4"/>
        <v>-1.738363808473711E-2</v>
      </c>
      <c r="S18" s="32"/>
      <c r="T18" s="33">
        <v>-1.2025895631619E-2</v>
      </c>
      <c r="U18" s="31">
        <v>-6.1435498535575596E-3</v>
      </c>
      <c r="V18" s="31">
        <f t="shared" si="5"/>
        <v>-5.8823457780614406E-3</v>
      </c>
      <c r="W18" s="36"/>
      <c r="X18" s="31">
        <v>-0.134754265364598</v>
      </c>
      <c r="Y18" s="34">
        <v>-0.12831973946505601</v>
      </c>
      <c r="Z18" s="31">
        <f t="shared" si="6"/>
        <v>-6.4345258995419929E-3</v>
      </c>
      <c r="AA18" s="31"/>
      <c r="AB18" s="31">
        <v>0.124508999772188</v>
      </c>
      <c r="AC18" s="31">
        <v>0.147039681283958</v>
      </c>
      <c r="AD18" s="31">
        <f t="shared" si="7"/>
        <v>-2.2530681511769998E-2</v>
      </c>
      <c r="AE18" s="1"/>
    </row>
    <row r="19" spans="1:31" x14ac:dyDescent="0.35">
      <c r="A19" t="s">
        <v>38</v>
      </c>
      <c r="B19" s="31">
        <f t="shared" si="0"/>
        <v>0.36274495742871715</v>
      </c>
      <c r="C19" s="1"/>
      <c r="D19" s="31">
        <v>-0.194568075207978</v>
      </c>
      <c r="E19" s="31">
        <v>-0.59741121178864398</v>
      </c>
      <c r="F19" s="31">
        <f t="shared" si="1"/>
        <v>0.40284313658066595</v>
      </c>
      <c r="G19" s="31"/>
      <c r="H19" s="31">
        <v>7.9777253147179095E-2</v>
      </c>
      <c r="I19" s="31">
        <v>3.03083378270185E-2</v>
      </c>
      <c r="J19" s="31">
        <f t="shared" si="2"/>
        <v>4.9468915320160595E-2</v>
      </c>
      <c r="K19" s="1"/>
      <c r="L19" s="31">
        <v>0.107258849208799</v>
      </c>
      <c r="M19" s="31">
        <v>0.142890990083336</v>
      </c>
      <c r="N19" s="31">
        <f t="shared" si="3"/>
        <v>-3.5632140874537005E-2</v>
      </c>
      <c r="O19" s="31"/>
      <c r="P19" s="31">
        <v>-3.9361823659811801E-3</v>
      </c>
      <c r="Q19" s="31">
        <v>1.3386337651906499E-2</v>
      </c>
      <c r="R19" s="31">
        <f t="shared" si="4"/>
        <v>-1.7322520017887678E-2</v>
      </c>
      <c r="S19" s="32"/>
      <c r="T19" s="33">
        <v>-1.14904795380124E-2</v>
      </c>
      <c r="U19" s="31">
        <v>-5.6932828844747001E-3</v>
      </c>
      <c r="V19" s="31">
        <f t="shared" si="5"/>
        <v>-5.7971966535376998E-3</v>
      </c>
      <c r="W19" s="36"/>
      <c r="X19" s="31">
        <v>-6.4067477393471503E-2</v>
      </c>
      <c r="Y19" s="34">
        <v>-5.5391695306414503E-2</v>
      </c>
      <c r="Z19" s="31">
        <f t="shared" si="6"/>
        <v>-8.6757820870570004E-3</v>
      </c>
      <c r="AA19" s="31"/>
      <c r="AB19" s="31">
        <v>0.118033903265312</v>
      </c>
      <c r="AC19" s="31">
        <v>0.14017335810440201</v>
      </c>
      <c r="AD19" s="31">
        <f t="shared" si="7"/>
        <v>-2.2139454839090009E-2</v>
      </c>
      <c r="AE19" s="1"/>
    </row>
    <row r="20" spans="1:31" x14ac:dyDescent="0.35">
      <c r="A20" t="s">
        <v>39</v>
      </c>
      <c r="B20" s="31">
        <f t="shared" si="0"/>
        <v>0.3559702709931083</v>
      </c>
      <c r="C20" s="1"/>
      <c r="D20" s="31">
        <v>-2.9836760326829598E-2</v>
      </c>
      <c r="E20" s="31">
        <v>-0.42474114525569501</v>
      </c>
      <c r="F20" s="31">
        <f t="shared" si="1"/>
        <v>0.39490438492886543</v>
      </c>
      <c r="G20" s="31"/>
      <c r="H20" s="31">
        <v>8.8515383497522901E-2</v>
      </c>
      <c r="I20" s="31">
        <v>4.0534927781801303E-2</v>
      </c>
      <c r="J20" s="31">
        <f t="shared" si="2"/>
        <v>4.7980455715721598E-2</v>
      </c>
      <c r="K20" s="1"/>
      <c r="L20" s="31">
        <v>8.9169655673979206E-2</v>
      </c>
      <c r="M20" s="31">
        <v>0.12453101072260001</v>
      </c>
      <c r="N20" s="31">
        <f t="shared" si="3"/>
        <v>-3.5361355048620799E-2</v>
      </c>
      <c r="O20" s="31"/>
      <c r="P20" s="31">
        <v>1.32367143557229E-3</v>
      </c>
      <c r="Q20" s="31">
        <v>1.85040105664931E-2</v>
      </c>
      <c r="R20" s="31">
        <f t="shared" si="4"/>
        <v>-1.7180339130920812E-2</v>
      </c>
      <c r="S20" s="32"/>
      <c r="T20" s="33">
        <v>-9.5126456296744898E-3</v>
      </c>
      <c r="U20" s="31">
        <v>-5.2365158411973901E-3</v>
      </c>
      <c r="V20" s="31">
        <f t="shared" si="5"/>
        <v>-4.2761297884770996E-3</v>
      </c>
      <c r="W20" s="36"/>
      <c r="X20" s="31">
        <v>-0.110727166879507</v>
      </c>
      <c r="Y20" s="34">
        <v>-0.10225670887527</v>
      </c>
      <c r="Z20" s="31">
        <f t="shared" si="6"/>
        <v>-8.4704580042369998E-3</v>
      </c>
      <c r="AA20" s="31"/>
      <c r="AB20" s="31">
        <v>0.12270904877794001</v>
      </c>
      <c r="AC20" s="31">
        <v>0.14433533645716301</v>
      </c>
      <c r="AD20" s="31">
        <f t="shared" si="7"/>
        <v>-2.1626287679223005E-2</v>
      </c>
      <c r="AE20" s="1"/>
    </row>
    <row r="21" spans="1:31" x14ac:dyDescent="0.35">
      <c r="V21" s="37"/>
      <c r="W21" s="38"/>
      <c r="X21" s="39"/>
    </row>
    <row r="22" spans="1:31" x14ac:dyDescent="0.35">
      <c r="C22" s="1"/>
      <c r="V22" s="37"/>
      <c r="W22" s="38"/>
      <c r="X22" s="39"/>
    </row>
    <row r="23" spans="1:31" x14ac:dyDescent="0.35">
      <c r="C23" s="1"/>
      <c r="V23" s="37"/>
      <c r="W23" s="38"/>
      <c r="X23" s="39"/>
    </row>
    <row r="24" spans="1:31" x14ac:dyDescent="0.35">
      <c r="C24" s="1"/>
      <c r="V24" s="37"/>
      <c r="W24" s="38"/>
      <c r="X24" s="39"/>
    </row>
    <row r="25" spans="1:31" x14ac:dyDescent="0.35">
      <c r="C25" s="1"/>
    </row>
    <row r="26" spans="1:31" x14ac:dyDescent="0.35">
      <c r="C26" s="1"/>
    </row>
    <row r="27" spans="1:31" x14ac:dyDescent="0.35">
      <c r="C27" s="1"/>
    </row>
    <row r="28" spans="1:31" x14ac:dyDescent="0.35">
      <c r="C28" s="1"/>
    </row>
    <row r="29" spans="1:31" x14ac:dyDescent="0.35">
      <c r="C29" s="1"/>
    </row>
    <row r="30" spans="1:31" x14ac:dyDescent="0.35">
      <c r="C30" s="1"/>
    </row>
    <row r="31" spans="1:31" x14ac:dyDescent="0.35">
      <c r="C31" s="1"/>
    </row>
    <row r="32" spans="1:31" x14ac:dyDescent="0.35">
      <c r="C32" s="1"/>
    </row>
    <row r="33" spans="3:3" x14ac:dyDescent="0.35">
      <c r="C33" s="1"/>
    </row>
    <row r="34" spans="3:3" x14ac:dyDescent="0.35">
      <c r="C34" s="1"/>
    </row>
    <row r="35" spans="3:3" x14ac:dyDescent="0.35">
      <c r="C35" s="1"/>
    </row>
    <row r="36" spans="3:3" x14ac:dyDescent="0.35">
      <c r="C36" s="1"/>
    </row>
    <row r="37" spans="3:3" x14ac:dyDescent="0.35">
      <c r="C37" s="1"/>
    </row>
    <row r="38" spans="3:3" x14ac:dyDescent="0.35">
      <c r="C38" s="1"/>
    </row>
  </sheetData>
  <mergeCells count="15">
    <mergeCell ref="W5:W6"/>
    <mergeCell ref="AB1:AD1"/>
    <mergeCell ref="D2:F2"/>
    <mergeCell ref="H2:J2"/>
    <mergeCell ref="L2:N2"/>
    <mergeCell ref="P2:R2"/>
    <mergeCell ref="T2:V2"/>
    <mergeCell ref="X2:Z2"/>
    <mergeCell ref="AB2:AD2"/>
    <mergeCell ref="D1:F1"/>
    <mergeCell ref="H1:J1"/>
    <mergeCell ref="L1:N1"/>
    <mergeCell ref="P1:R1"/>
    <mergeCell ref="T1:V1"/>
    <mergeCell ref="X1:Z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A9F3DB0CD4D844B918872BCED9B9CF9" ma:contentTypeVersion="18" ma:contentTypeDescription="Create a new document." ma:contentTypeScope="" ma:versionID="9a00ef7ba833234e4bc8cb527d2305ea">
  <xsd:schema xmlns:xsd="http://www.w3.org/2001/XMLSchema" xmlns:xs="http://www.w3.org/2001/XMLSchema" xmlns:p="http://schemas.microsoft.com/office/2006/metadata/properties" xmlns:ns2="cac5d118-ba7b-4807-b700-df6f95cfff50" xmlns:ns3="66951ee6-cd93-49c7-9437-e871b2a117d6" targetNamespace="http://schemas.microsoft.com/office/2006/metadata/properties" ma:root="true" ma:fieldsID="d758e358a32e589467f22711ae3e9fd0" ns2:_="" ns3:_="">
    <xsd:import namespace="cac5d118-ba7b-4807-b700-df6f95cfff50"/>
    <xsd:import namespace="66951ee6-cd93-49c7-9437-e871b2a117d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5d118-ba7b-4807-b700-df6f95cff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eb4b2d4-9bb6-49a7-8a4b-ec3b3538ad4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951ee6-cd93-49c7-9437-e871b2a117d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7380a03-8396-48f4-ac19-20e9dcae480c}" ma:internalName="TaxCatchAll" ma:showField="CatchAllData" ma:web="66951ee6-cd93-49c7-9437-e871b2a117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c5d118-ba7b-4807-b700-df6f95cfff50">
      <Terms xmlns="http://schemas.microsoft.com/office/infopath/2007/PartnerControls"/>
    </lcf76f155ced4ddcb4097134ff3c332f>
    <TaxCatchAll xmlns="66951ee6-cd93-49c7-9437-e871b2a117d6" xsi:nil="true"/>
  </documentManagement>
</p:properties>
</file>

<file path=customXml/itemProps1.xml><?xml version="1.0" encoding="utf-8"?>
<ds:datastoreItem xmlns:ds="http://schemas.openxmlformats.org/officeDocument/2006/customXml" ds:itemID="{2CFDCFE6-742E-462E-ADFF-FA66B8DF8C76}">
  <ds:schemaRefs>
    <ds:schemaRef ds:uri="http://schemas.microsoft.com/sharepoint/v3/contenttype/forms"/>
  </ds:schemaRefs>
</ds:datastoreItem>
</file>

<file path=customXml/itemProps2.xml><?xml version="1.0" encoding="utf-8"?>
<ds:datastoreItem xmlns:ds="http://schemas.openxmlformats.org/officeDocument/2006/customXml" ds:itemID="{5282762A-93FD-4E91-B7F8-617DE82588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c5d118-ba7b-4807-b700-df6f95cfff50"/>
    <ds:schemaRef ds:uri="66951ee6-cd93-49c7-9437-e871b2a117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74DCE3-899E-4BFB-A538-C2F5587242FE}">
  <ds:schemaRefs>
    <ds:schemaRef ds:uri="http://schemas.microsoft.com/office/2006/metadata/properties"/>
    <ds:schemaRef ds:uri="http://schemas.microsoft.com/office/infopath/2007/PartnerControls"/>
    <ds:schemaRef ds:uri="cac5d118-ba7b-4807-b700-df6f95cfff50"/>
    <ds:schemaRef ds:uri="66951ee6-cd93-49c7-9437-e871b2a117d6"/>
  </ds:schemaRefs>
</ds:datastoreItem>
</file>

<file path=docMetadata/LabelInfo.xml><?xml version="1.0" encoding="utf-8"?>
<clbl:labelList xmlns:clbl="http://schemas.microsoft.com/office/2020/mipLabelMetadata">
  <clbl:label id="{0a02388e-6178-4513-9b82-88b9dc6bf457}" enabled="0" method="" siteId="{0a02388e-6178-4513-9b82-88b9dc6bf4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FIM Breakdown_old</vt:lpstr>
      <vt:lpstr>Readme</vt:lpstr>
      <vt:lpstr>Table 1</vt:lpstr>
      <vt:lpstr>Table 2</vt:lpstr>
      <vt:lpstr>effects of obbba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Ahmad</dc:creator>
  <cp:keywords/>
  <dc:description/>
  <cp:lastModifiedBy>Sarah</cp:lastModifiedBy>
  <cp:revision/>
  <dcterms:created xsi:type="dcterms:W3CDTF">2025-10-02T18:07:32Z</dcterms:created>
  <dcterms:modified xsi:type="dcterms:W3CDTF">2025-11-18T21:33:33Z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0x010100FA9F3DB0CD4D844B918872BCED9B9CF9</vt:lpwstr>
  </property>
  <property fmtid="{D5CDD505-2E9C-101B-9397-08002B2CF9AE}" pid="3" name="MediaServiceImageTags">
    <vt:lpwstr/>
  </property>
</Properties>
</file>