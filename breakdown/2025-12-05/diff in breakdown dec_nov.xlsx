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ookingsinstitution.sharepoint.com/sites/hutchinscenterteam/Shared Documents/Projects/Fiscal Impact/Fiscal Impact Breakdown/12-2025/"/>
    </mc:Choice>
  </mc:AlternateContent>
  <xr:revisionPtr revIDLastSave="0" documentId="8_{2BDF9CCF-2438-4794-A6FA-BA238FF9E862}" xr6:coauthVersionLast="47" xr6:coauthVersionMax="47" xr10:uidLastSave="{00000000-0000-0000-0000-000000000000}"/>
  <bookViews>
    <workbookView xWindow="-110" yWindow="-110" windowWidth="19420" windowHeight="11500" xr2:uid="{FC979AF1-B4B5-46F9-A6E2-2BB26726FB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" i="1" l="1"/>
  <c r="P12" i="1"/>
  <c r="K12" i="1"/>
  <c r="I12" i="1"/>
  <c r="K11" i="1"/>
  <c r="P11" i="1"/>
  <c r="I11" i="1"/>
  <c r="B10" i="1"/>
  <c r="O10" i="1"/>
  <c r="N10" i="1"/>
  <c r="K10" i="1"/>
  <c r="T9" i="1"/>
  <c r="O9" i="1"/>
  <c r="N9" i="1"/>
  <c r="B9" i="1"/>
  <c r="T8" i="1"/>
  <c r="K7" i="1"/>
  <c r="T7" i="1"/>
  <c r="O7" i="1"/>
  <c r="G7" i="1"/>
  <c r="S6" i="1"/>
  <c r="O6" i="1"/>
  <c r="P6" i="1"/>
  <c r="B6" i="1"/>
  <c r="P5" i="1"/>
  <c r="K5" i="1"/>
  <c r="G5" i="1"/>
  <c r="B5" i="1"/>
  <c r="K4" i="1"/>
  <c r="P4" i="1"/>
  <c r="N4" i="1"/>
  <c r="D4" i="1"/>
  <c r="E4" i="1"/>
  <c r="F4" i="1"/>
  <c r="G4" i="1"/>
  <c r="H4" i="1"/>
  <c r="I4" i="1"/>
  <c r="M4" i="1"/>
  <c r="O4" i="1"/>
  <c r="R4" i="1"/>
  <c r="V4" i="1"/>
  <c r="Y4" i="1"/>
  <c r="Z4" i="1"/>
  <c r="AA4" i="1"/>
  <c r="AB4" i="1"/>
  <c r="D5" i="1"/>
  <c r="E5" i="1"/>
  <c r="F5" i="1"/>
  <c r="H5" i="1"/>
  <c r="M5" i="1"/>
  <c r="N5" i="1"/>
  <c r="O5" i="1"/>
  <c r="R5" i="1"/>
  <c r="S5" i="1"/>
  <c r="T5" i="1"/>
  <c r="V5" i="1"/>
  <c r="X5" i="1"/>
  <c r="Y5" i="1"/>
  <c r="Z5" i="1"/>
  <c r="AA5" i="1"/>
  <c r="AB5" i="1"/>
  <c r="D6" i="1"/>
  <c r="E6" i="1"/>
  <c r="F6" i="1"/>
  <c r="H6" i="1"/>
  <c r="K6" i="1"/>
  <c r="M6" i="1"/>
  <c r="N6" i="1"/>
  <c r="R6" i="1"/>
  <c r="V6" i="1"/>
  <c r="X6" i="1"/>
  <c r="Y6" i="1"/>
  <c r="Z6" i="1"/>
  <c r="AA6" i="1"/>
  <c r="AB6" i="1"/>
  <c r="D7" i="1"/>
  <c r="E7" i="1"/>
  <c r="F7" i="1"/>
  <c r="H7" i="1"/>
  <c r="M7" i="1"/>
  <c r="R7" i="1"/>
  <c r="V7" i="1"/>
  <c r="X7" i="1"/>
  <c r="Y7" i="1"/>
  <c r="Z7" i="1"/>
  <c r="AA7" i="1"/>
  <c r="AB7" i="1"/>
  <c r="D8" i="1"/>
  <c r="E8" i="1"/>
  <c r="F8" i="1"/>
  <c r="G8" i="1"/>
  <c r="H8" i="1"/>
  <c r="M8" i="1"/>
  <c r="N8" i="1"/>
  <c r="O8" i="1"/>
  <c r="P8" i="1"/>
  <c r="R8" i="1"/>
  <c r="S8" i="1"/>
  <c r="V8" i="1"/>
  <c r="Y8" i="1"/>
  <c r="Z8" i="1"/>
  <c r="AA8" i="1"/>
  <c r="AB8" i="1"/>
  <c r="D9" i="1"/>
  <c r="E9" i="1"/>
  <c r="F9" i="1"/>
  <c r="G9" i="1"/>
  <c r="H9" i="1"/>
  <c r="K9" i="1"/>
  <c r="M9" i="1"/>
  <c r="R9" i="1"/>
  <c r="S9" i="1"/>
  <c r="V9" i="1"/>
  <c r="X9" i="1"/>
  <c r="Y9" i="1"/>
  <c r="Z9" i="1"/>
  <c r="AA9" i="1"/>
  <c r="AB9" i="1"/>
  <c r="D10" i="1"/>
  <c r="E10" i="1"/>
  <c r="F10" i="1"/>
  <c r="G10" i="1"/>
  <c r="H10" i="1"/>
  <c r="M10" i="1"/>
  <c r="R10" i="1"/>
  <c r="S10" i="1"/>
  <c r="T10" i="1"/>
  <c r="V10" i="1"/>
  <c r="X10" i="1"/>
  <c r="Y10" i="1"/>
  <c r="Z10" i="1"/>
  <c r="AA10" i="1"/>
  <c r="AB10" i="1"/>
  <c r="D11" i="1"/>
  <c r="E11" i="1"/>
  <c r="F11" i="1"/>
  <c r="G11" i="1"/>
  <c r="H11" i="1"/>
  <c r="M11" i="1"/>
  <c r="N11" i="1"/>
  <c r="O11" i="1"/>
  <c r="R11" i="1"/>
  <c r="V11" i="1"/>
  <c r="Y11" i="1"/>
  <c r="Z11" i="1"/>
  <c r="AA11" i="1"/>
  <c r="AB11" i="1"/>
  <c r="D12" i="1"/>
  <c r="E12" i="1"/>
  <c r="F12" i="1"/>
  <c r="G12" i="1"/>
  <c r="H12" i="1"/>
  <c r="M12" i="1"/>
  <c r="O12" i="1"/>
  <c r="R12" i="1"/>
  <c r="S12" i="1"/>
  <c r="V12" i="1"/>
  <c r="X12" i="1"/>
  <c r="Y12" i="1"/>
  <c r="Z12" i="1"/>
  <c r="AA12" i="1"/>
  <c r="AB12" i="1"/>
  <c r="B12" i="1"/>
  <c r="I10" i="1"/>
  <c r="I9" i="1"/>
  <c r="I8" i="1"/>
  <c r="X8" i="1" l="1"/>
  <c r="K8" i="1"/>
  <c r="B8" i="1"/>
  <c r="S4" i="1"/>
  <c r="T4" i="1"/>
  <c r="N7" i="1"/>
  <c r="P7" i="1"/>
  <c r="S11" i="1"/>
  <c r="T11" i="1"/>
  <c r="G6" i="1"/>
  <c r="I6" i="1"/>
  <c r="S7" i="1"/>
  <c r="P10" i="1"/>
  <c r="X4" i="1"/>
  <c r="I5" i="1"/>
  <c r="B4" i="1"/>
  <c r="X11" i="1"/>
  <c r="T6" i="1"/>
  <c r="P9" i="1"/>
  <c r="B11" i="1"/>
  <c r="N12" i="1"/>
  <c r="B7" i="1"/>
  <c r="I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tc={8A7BBFB9-3B42-4117-9D57-4F8C98C6DB65}</author>
    <author>tc={61AF2447-2582-463D-87F9-38F8654B170A}</author>
    <author>tc={4252C127-A728-40A1-8C9B-3E2A98562CAA}</author>
  </authors>
  <commentList>
    <comment ref="AB3" authorId="0" shapeId="0" xr:uid="{8A7BBFB9-3B42-4117-9D57-4F8C98C6DB65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side effects from investment incentives</t>
      </text>
    </comment>
    <comment ref="AB25" authorId="1" shapeId="0" xr:uid="{61AF2447-2582-463D-87F9-38F8654B170A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side effects from investment incentives</t>
      </text>
    </comment>
    <comment ref="AB38" authorId="2" shapeId="0" xr:uid="{4252C127-A728-40A1-8C9B-3E2A98562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side effects from investment incentives</t>
      </text>
    </comment>
  </commentList>
</comments>
</file>

<file path=xl/sharedStrings.xml><?xml version="1.0" encoding="utf-8"?>
<sst xmlns="http://schemas.openxmlformats.org/spreadsheetml/2006/main" count="124" uniqueCount="44">
  <si>
    <t>Table 1: Breakdown of FIM by component</t>
  </si>
  <si>
    <t>Total</t>
  </si>
  <si>
    <t>Purchases</t>
  </si>
  <si>
    <t>Taxes Transfers and Subsidies (includes supply side and uncertainty effects)</t>
  </si>
  <si>
    <t>Taxes</t>
  </si>
  <si>
    <t>Transfers</t>
  </si>
  <si>
    <t>Uncertainty</t>
  </si>
  <si>
    <t>Supply Side</t>
  </si>
  <si>
    <t xml:space="preserve">Purchases Total </t>
  </si>
  <si>
    <t>Subcomponents of Federal Purchases</t>
  </si>
  <si>
    <t xml:space="preserve">Taxes Total </t>
  </si>
  <si>
    <t>Subcomponents of Taxes</t>
  </si>
  <si>
    <t>Transfers Total</t>
  </si>
  <si>
    <t>Subcomponents of Transfers</t>
  </si>
  <si>
    <t>Uncertainty Total</t>
  </si>
  <si>
    <t>Supply Side Total</t>
  </si>
  <si>
    <t>Subcomponents of Supply Side</t>
  </si>
  <si>
    <t>Federal</t>
  </si>
  <si>
    <t>State and Local</t>
  </si>
  <si>
    <t>Federal Purchases OBBBA</t>
  </si>
  <si>
    <t>Federal Purchases, Government Shutdown</t>
  </si>
  <si>
    <t>Federal  purchases Other</t>
  </si>
  <si>
    <t>Taxes OBBBA</t>
  </si>
  <si>
    <t>Tariffs</t>
  </si>
  <si>
    <t>Taxes Other</t>
  </si>
  <si>
    <t>Transfers OBBBA</t>
  </si>
  <si>
    <t>Transfers Other</t>
  </si>
  <si>
    <t>Tariff Uncertainty</t>
  </si>
  <si>
    <t>Shutdown Spillovers</t>
  </si>
  <si>
    <t>Student Loans</t>
  </si>
  <si>
    <t>IRA/CHIPS</t>
  </si>
  <si>
    <t>Supply Side Effects of OBBBA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</si>
  <si>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</si>
  <si>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</si>
  <si>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</si>
  <si>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</si>
  <si>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</si>
  <si>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</si>
  <si>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</si>
  <si>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</si>
  <si>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</si>
  <si>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NEW</t>
  </si>
  <si>
    <t>OLD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</si>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</sst>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9"/>
      <color indexed="81"/>
      <name val="Tahoma"/>
      <family val="2"/>
    </font>
    <font>
      <sz val="2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2" borderId="0" xfId="0" quotePrefix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0" xfId="0" applyNumberFormat="1" applyFont="1"/>
    <xf numFmtId="2" fontId="0" fillId="0" borderId="0" xfId="0" applyNumberFormat="1"/>
    <xf numFmtId="2" fontId="2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wrapText="1"/>
    </xf>
    <xf numFmtId="2" fontId="1" fillId="3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wrapText="1"/>
    </xf>
    <xf numFmtId="2" fontId="1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rah Ahmad" id="{390F6E44-8280-4246-911D-ADBB58785388}" userId="S::SAhmad@brookings.edu::a57a138b-f8b3-487b-af77-be2c9712b9a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3" dT="2025-10-08T19:37:59.41" personId="{390F6E44-8280-4246-911D-ADBB58785388}" id="{8A7BBFB9-3B42-4117-9D57-4F8C98C6DB65}">
    <text>Supply side effects from investment incentives</text>
  </threadedComment>
  <threadedComment ref="AB25" dT="2025-10-08T19:37:59.41" personId="{390F6E44-8280-4246-911D-ADBB58785388}" id="{61AF2447-2582-463D-87F9-38F8654B170A}">
    <text>Supply side effects from investment incentives</text>
  </threadedComment>
  <threadedComment ref="AB38" dT="2025-10-08T19:37:59.41" personId="{390F6E44-8280-4246-911D-ADBB58785388}" id="{4252C127-A728-40A1-8C9B-3E2A98562CAA}">
    <text>Supply side effects from investment incentives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BAA9-AC58-4A8A-9706-CF1CE9E4298D}">
  <dimension ref="A1:AB47"/>
  <sheetViews>
    <sheetView tabSelected="1" topLeftCell="K1" workbookViewId="0">
      <selection activeCell="Q9" sqref="Q9"/>
    </sheetView>
  </sheetViews>
  <sheetFormatPr defaultRowHeight="14.5" x14ac:dyDescent="0.35"/>
  <cols>
    <col min="1" max="1" width="15.81640625" customWidth="1"/>
    <col min="3" max="3" width="10.54296875" customWidth="1"/>
    <col min="4" max="4" width="10.453125" customWidth="1"/>
    <col min="5" max="6" width="11.81640625" customWidth="1"/>
    <col min="7" max="8" width="13" customWidth="1"/>
    <col min="9" max="9" width="12.7265625" customWidth="1"/>
    <col min="10" max="10" width="7.7265625" customWidth="1"/>
    <col min="11" max="11" width="31.1796875" customWidth="1"/>
    <col min="12" max="12" width="7.7265625" customWidth="1"/>
    <col min="13" max="13" width="10.26953125" customWidth="1"/>
    <col min="14" max="16" width="12.81640625" customWidth="1"/>
    <col min="17" max="17" width="9.1796875" customWidth="1"/>
    <col min="18" max="18" width="15.1796875" customWidth="1"/>
    <col min="19" max="19" width="14.81640625" customWidth="1"/>
    <col min="20" max="20" width="13.81640625" customWidth="1"/>
    <col min="22" max="22" width="22.26953125" customWidth="1"/>
    <col min="23" max="23" width="9.7265625" customWidth="1"/>
    <col min="24" max="24" width="13.1796875" customWidth="1"/>
    <col min="25" max="25" width="12.453125" customWidth="1"/>
    <col min="26" max="26" width="10.1796875" customWidth="1"/>
    <col min="27" max="27" width="14.453125" customWidth="1"/>
    <col min="28" max="28" width="11.7265625" customWidth="1"/>
  </cols>
  <sheetData>
    <row r="1" spans="1:28" ht="48" x14ac:dyDescent="0.4">
      <c r="A1" s="25" t="s">
        <v>43</v>
      </c>
      <c r="B1" s="3" t="s">
        <v>1</v>
      </c>
      <c r="C1" s="2"/>
      <c r="D1" s="4" t="s">
        <v>2</v>
      </c>
      <c r="E1" s="4"/>
      <c r="F1" s="4"/>
      <c r="G1" s="4"/>
      <c r="H1" s="4"/>
      <c r="I1" s="4"/>
      <c r="J1" s="2"/>
      <c r="K1" s="3" t="s">
        <v>3</v>
      </c>
      <c r="L1" s="2"/>
      <c r="M1" s="4" t="s">
        <v>4</v>
      </c>
      <c r="N1" s="5"/>
      <c r="O1" s="5"/>
      <c r="P1" s="5"/>
      <c r="Q1" s="6"/>
      <c r="R1" s="4" t="s">
        <v>5</v>
      </c>
      <c r="S1" s="5"/>
      <c r="T1" s="5"/>
      <c r="V1" s="3" t="s">
        <v>6</v>
      </c>
      <c r="W1" s="6"/>
      <c r="X1" s="7" t="s">
        <v>7</v>
      </c>
      <c r="Y1" s="7"/>
      <c r="Z1" s="7"/>
      <c r="AA1" s="7"/>
      <c r="AB1" s="7"/>
    </row>
    <row r="2" spans="1:28" ht="32" x14ac:dyDescent="0.4">
      <c r="A2" s="2"/>
      <c r="B2" s="2"/>
      <c r="C2" s="2"/>
      <c r="D2" s="8" t="s">
        <v>8</v>
      </c>
      <c r="E2" s="2"/>
      <c r="F2" s="2"/>
      <c r="G2" s="9" t="s">
        <v>9</v>
      </c>
      <c r="H2" s="9"/>
      <c r="I2" s="9"/>
      <c r="J2" s="2"/>
      <c r="K2" s="2"/>
      <c r="L2" s="2"/>
      <c r="M2" s="10" t="s">
        <v>10</v>
      </c>
      <c r="N2" s="11" t="s">
        <v>11</v>
      </c>
      <c r="O2" s="11"/>
      <c r="P2" s="11"/>
      <c r="Q2" s="12"/>
      <c r="R2" s="10" t="s">
        <v>12</v>
      </c>
      <c r="S2" s="11" t="s">
        <v>13</v>
      </c>
      <c r="T2" s="11"/>
      <c r="V2" s="10" t="s">
        <v>14</v>
      </c>
      <c r="X2" s="10" t="s">
        <v>15</v>
      </c>
      <c r="Y2" s="11" t="s">
        <v>16</v>
      </c>
      <c r="Z2" s="11"/>
      <c r="AA2" s="11"/>
      <c r="AB2" s="11"/>
    </row>
    <row r="3" spans="1:28" ht="64" x14ac:dyDescent="0.4">
      <c r="A3" s="13"/>
      <c r="B3" s="13"/>
      <c r="C3" s="13"/>
      <c r="D3" s="14"/>
      <c r="E3" s="15" t="s">
        <v>17</v>
      </c>
      <c r="F3" s="13" t="s">
        <v>18</v>
      </c>
      <c r="G3" s="13" t="s">
        <v>19</v>
      </c>
      <c r="H3" s="13" t="s">
        <v>20</v>
      </c>
      <c r="I3" s="28" t="s">
        <v>21</v>
      </c>
      <c r="J3" s="13"/>
      <c r="K3" s="13"/>
      <c r="L3" s="13"/>
      <c r="M3" s="8"/>
      <c r="N3" s="13" t="s">
        <v>22</v>
      </c>
      <c r="O3" s="13" t="s">
        <v>23</v>
      </c>
      <c r="P3" s="26" t="s">
        <v>24</v>
      </c>
      <c r="Q3" s="14"/>
      <c r="R3" s="14"/>
      <c r="S3" s="13" t="s">
        <v>25</v>
      </c>
      <c r="T3" s="26" t="s">
        <v>26</v>
      </c>
      <c r="U3" s="14"/>
      <c r="V3" s="14" t="s">
        <v>27</v>
      </c>
      <c r="W3" s="14"/>
      <c r="X3" s="14"/>
      <c r="Y3" s="14" t="s">
        <v>28</v>
      </c>
      <c r="Z3" s="14" t="s">
        <v>29</v>
      </c>
      <c r="AA3" s="14" t="s">
        <v>30</v>
      </c>
      <c r="AB3" s="13" t="s">
        <v>31</v>
      </c>
    </row>
    <row r="4" spans="1:28" ht="16" x14ac:dyDescent="0.4">
      <c r="A4" s="2" t="s">
        <v>32</v>
      </c>
      <c r="B4" s="16">
        <f>B26-B39</f>
        <v>0</v>
      </c>
      <c r="C4" s="16"/>
      <c r="D4" s="16">
        <f t="shared" ref="C4:AB12" si="0">D26-D39</f>
        <v>0</v>
      </c>
      <c r="E4" s="16">
        <f t="shared" si="0"/>
        <v>0</v>
      </c>
      <c r="F4" s="16">
        <f t="shared" si="0"/>
        <v>0</v>
      </c>
      <c r="G4" s="16">
        <f t="shared" si="0"/>
        <v>0</v>
      </c>
      <c r="H4" s="16">
        <f t="shared" si="0"/>
        <v>0</v>
      </c>
      <c r="I4" s="29">
        <f t="shared" si="0"/>
        <v>0</v>
      </c>
      <c r="J4" s="16"/>
      <c r="K4" s="16">
        <f t="shared" si="0"/>
        <v>0</v>
      </c>
      <c r="L4" s="16"/>
      <c r="M4" s="16">
        <f t="shared" si="0"/>
        <v>2.3738219379538295E-2</v>
      </c>
      <c r="N4" s="16">
        <f>N26-N39</f>
        <v>0</v>
      </c>
      <c r="O4" s="16">
        <f t="shared" si="0"/>
        <v>0</v>
      </c>
      <c r="P4" s="27">
        <f t="shared" si="0"/>
        <v>2.3738219379538295E-2</v>
      </c>
      <c r="Q4" s="16"/>
      <c r="R4" s="16">
        <f t="shared" si="0"/>
        <v>-2.3738219379538295E-2</v>
      </c>
      <c r="S4" s="16">
        <f t="shared" si="0"/>
        <v>0</v>
      </c>
      <c r="T4" s="27">
        <f t="shared" si="0"/>
        <v>-2.3738219379538295E-2</v>
      </c>
      <c r="U4" s="16"/>
      <c r="V4" s="16">
        <f t="shared" si="0"/>
        <v>0</v>
      </c>
      <c r="W4" s="16"/>
      <c r="X4" s="16">
        <f t="shared" si="0"/>
        <v>0</v>
      </c>
      <c r="Y4" s="16">
        <f t="shared" si="0"/>
        <v>0</v>
      </c>
      <c r="Z4" s="16">
        <f t="shared" si="0"/>
        <v>0</v>
      </c>
      <c r="AA4" s="16">
        <f t="shared" si="0"/>
        <v>0</v>
      </c>
      <c r="AB4" s="16">
        <f t="shared" si="0"/>
        <v>0</v>
      </c>
    </row>
    <row r="5" spans="1:28" ht="16" x14ac:dyDescent="0.4">
      <c r="A5" s="2" t="s">
        <v>33</v>
      </c>
      <c r="B5" s="16">
        <f t="shared" ref="B5:Q12" si="1">B27-B40</f>
        <v>-0.19934451362624703</v>
      </c>
      <c r="C5" s="16"/>
      <c r="D5" s="16">
        <f t="shared" si="1"/>
        <v>0</v>
      </c>
      <c r="E5" s="16">
        <f t="shared" si="1"/>
        <v>0</v>
      </c>
      <c r="F5" s="16">
        <f t="shared" si="1"/>
        <v>0</v>
      </c>
      <c r="G5" s="16">
        <f t="shared" si="1"/>
        <v>0</v>
      </c>
      <c r="H5" s="16">
        <f t="shared" si="1"/>
        <v>0</v>
      </c>
      <c r="I5" s="29">
        <f t="shared" si="1"/>
        <v>0</v>
      </c>
      <c r="J5" s="16"/>
      <c r="K5" s="16">
        <f t="shared" si="1"/>
        <v>-0.19934451362624703</v>
      </c>
      <c r="L5" s="16"/>
      <c r="M5" s="16">
        <f t="shared" si="1"/>
        <v>-0.29595064342574573</v>
      </c>
      <c r="N5" s="16">
        <f t="shared" si="1"/>
        <v>0</v>
      </c>
      <c r="O5" s="16">
        <f t="shared" si="1"/>
        <v>0</v>
      </c>
      <c r="P5" s="27">
        <f t="shared" si="1"/>
        <v>-0.29595064342574573</v>
      </c>
      <c r="Q5" s="16"/>
      <c r="R5" s="16">
        <f t="shared" si="0"/>
        <v>9.5228110032236191E-2</v>
      </c>
      <c r="S5" s="16">
        <f t="shared" si="0"/>
        <v>0</v>
      </c>
      <c r="T5" s="27">
        <f t="shared" si="0"/>
        <v>9.5228110032236191E-2</v>
      </c>
      <c r="U5" s="16"/>
      <c r="V5" s="16">
        <f t="shared" si="0"/>
        <v>0</v>
      </c>
      <c r="W5" s="16"/>
      <c r="X5" s="16">
        <f t="shared" si="0"/>
        <v>1.3780197672625116E-3</v>
      </c>
      <c r="Y5" s="16">
        <f t="shared" si="0"/>
        <v>0</v>
      </c>
      <c r="Z5" s="16">
        <f t="shared" si="0"/>
        <v>3.5788296908499662E-5</v>
      </c>
      <c r="AA5" s="16">
        <f t="shared" si="0"/>
        <v>1.342231470354005E-3</v>
      </c>
      <c r="AB5" s="16">
        <f t="shared" si="0"/>
        <v>0</v>
      </c>
    </row>
    <row r="6" spans="1:28" ht="16" x14ac:dyDescent="0.4">
      <c r="A6" s="2" t="s">
        <v>34</v>
      </c>
      <c r="B6" s="16">
        <f t="shared" si="1"/>
        <v>-0.19359467490207471</v>
      </c>
      <c r="C6" s="16"/>
      <c r="D6" s="16">
        <f t="shared" si="0"/>
        <v>0</v>
      </c>
      <c r="E6" s="16">
        <f t="shared" si="0"/>
        <v>0</v>
      </c>
      <c r="F6" s="16">
        <f t="shared" si="0"/>
        <v>0</v>
      </c>
      <c r="G6" s="16">
        <f t="shared" si="0"/>
        <v>0</v>
      </c>
      <c r="H6" s="16">
        <f t="shared" si="0"/>
        <v>0</v>
      </c>
      <c r="I6" s="29">
        <f t="shared" si="0"/>
        <v>0</v>
      </c>
      <c r="J6" s="16"/>
      <c r="K6" s="16">
        <f t="shared" si="0"/>
        <v>-0.19359467490207471</v>
      </c>
      <c r="L6" s="16"/>
      <c r="M6" s="16">
        <f t="shared" si="0"/>
        <v>-0.22883536307484834</v>
      </c>
      <c r="N6" s="16">
        <f t="shared" si="0"/>
        <v>0</v>
      </c>
      <c r="O6" s="16">
        <f t="shared" si="0"/>
        <v>0</v>
      </c>
      <c r="P6" s="27">
        <f t="shared" si="0"/>
        <v>-0.22883536307484831</v>
      </c>
      <c r="Q6" s="16"/>
      <c r="R6" s="16">
        <f t="shared" si="0"/>
        <v>3.5240688172773482E-2</v>
      </c>
      <c r="S6" s="16">
        <f t="shared" si="0"/>
        <v>0</v>
      </c>
      <c r="T6" s="27">
        <f t="shared" si="0"/>
        <v>3.5240688172773427E-2</v>
      </c>
      <c r="U6" s="16"/>
      <c r="V6" s="16">
        <f t="shared" si="0"/>
        <v>0</v>
      </c>
      <c r="W6" s="16"/>
      <c r="X6" s="16">
        <f t="shared" si="0"/>
        <v>0</v>
      </c>
      <c r="Y6" s="16">
        <f t="shared" si="0"/>
        <v>0</v>
      </c>
      <c r="Z6" s="16">
        <f t="shared" si="0"/>
        <v>0</v>
      </c>
      <c r="AA6" s="16">
        <f t="shared" si="0"/>
        <v>0</v>
      </c>
      <c r="AB6" s="16">
        <f t="shared" si="0"/>
        <v>0</v>
      </c>
    </row>
    <row r="7" spans="1:28" ht="16" x14ac:dyDescent="0.4">
      <c r="A7" s="2" t="s">
        <v>35</v>
      </c>
      <c r="B7" s="16">
        <f t="shared" si="1"/>
        <v>6.554534625481212E-2</v>
      </c>
      <c r="C7" s="16"/>
      <c r="D7" s="16">
        <f t="shared" si="0"/>
        <v>0</v>
      </c>
      <c r="E7" s="16">
        <f t="shared" si="0"/>
        <v>0</v>
      </c>
      <c r="F7" s="16">
        <f t="shared" si="0"/>
        <v>0</v>
      </c>
      <c r="G7" s="16">
        <f t="shared" si="0"/>
        <v>0</v>
      </c>
      <c r="H7" s="16">
        <f t="shared" si="0"/>
        <v>0</v>
      </c>
      <c r="I7" s="29">
        <f t="shared" si="0"/>
        <v>0</v>
      </c>
      <c r="J7" s="16"/>
      <c r="K7" s="16">
        <f t="shared" si="0"/>
        <v>6.554534625481212E-2</v>
      </c>
      <c r="L7" s="16"/>
      <c r="M7" s="16">
        <f t="shared" si="0"/>
        <v>2.9144154277638418E-2</v>
      </c>
      <c r="N7" s="16">
        <f t="shared" si="0"/>
        <v>0</v>
      </c>
      <c r="O7" s="16">
        <f t="shared" si="0"/>
        <v>0</v>
      </c>
      <c r="P7" s="27">
        <f t="shared" si="0"/>
        <v>2.914415427763839E-2</v>
      </c>
      <c r="Q7" s="16"/>
      <c r="R7" s="16">
        <f t="shared" si="0"/>
        <v>3.6401191977173619E-2</v>
      </c>
      <c r="S7" s="16">
        <f t="shared" si="0"/>
        <v>0</v>
      </c>
      <c r="T7" s="27">
        <f t="shared" si="0"/>
        <v>3.6401191977173619E-2</v>
      </c>
      <c r="U7" s="16"/>
      <c r="V7" s="16">
        <f t="shared" si="0"/>
        <v>0</v>
      </c>
      <c r="W7" s="16"/>
      <c r="X7" s="16">
        <f t="shared" si="0"/>
        <v>0</v>
      </c>
      <c r="Y7" s="16">
        <f t="shared" si="0"/>
        <v>0</v>
      </c>
      <c r="Z7" s="16">
        <f t="shared" si="0"/>
        <v>0</v>
      </c>
      <c r="AA7" s="16">
        <f t="shared" si="0"/>
        <v>0</v>
      </c>
      <c r="AB7" s="16">
        <f t="shared" si="0"/>
        <v>0</v>
      </c>
    </row>
    <row r="8" spans="1:28" ht="16" x14ac:dyDescent="0.4">
      <c r="A8" s="2" t="s">
        <v>36</v>
      </c>
      <c r="B8" s="16">
        <f t="shared" si="1"/>
        <v>6.5169759816759987E-2</v>
      </c>
      <c r="C8" s="16"/>
      <c r="D8" s="16">
        <f t="shared" si="0"/>
        <v>0</v>
      </c>
      <c r="E8" s="16">
        <f t="shared" si="0"/>
        <v>0</v>
      </c>
      <c r="F8" s="16">
        <f t="shared" si="0"/>
        <v>0</v>
      </c>
      <c r="G8" s="16">
        <f t="shared" si="0"/>
        <v>0</v>
      </c>
      <c r="H8" s="16">
        <f t="shared" si="0"/>
        <v>0</v>
      </c>
      <c r="I8" s="29">
        <f t="shared" si="0"/>
        <v>0</v>
      </c>
      <c r="J8" s="16"/>
      <c r="K8" s="16">
        <f t="shared" si="0"/>
        <v>6.5169759816759987E-2</v>
      </c>
      <c r="L8" s="16"/>
      <c r="M8" s="16">
        <f t="shared" si="0"/>
        <v>2.7071175740987476E-2</v>
      </c>
      <c r="N8" s="16">
        <f t="shared" si="0"/>
        <v>0</v>
      </c>
      <c r="O8" s="16">
        <f t="shared" si="0"/>
        <v>0</v>
      </c>
      <c r="P8" s="27">
        <f t="shared" si="0"/>
        <v>2.7071175740987496E-2</v>
      </c>
      <c r="Q8" s="16"/>
      <c r="R8" s="16">
        <f t="shared" si="0"/>
        <v>3.8098584075772518E-2</v>
      </c>
      <c r="S8" s="16">
        <f t="shared" si="0"/>
        <v>0</v>
      </c>
      <c r="T8" s="27">
        <f t="shared" si="0"/>
        <v>3.8098584075772546E-2</v>
      </c>
      <c r="U8" s="16"/>
      <c r="V8" s="16">
        <f t="shared" si="0"/>
        <v>0</v>
      </c>
      <c r="W8" s="16"/>
      <c r="X8" s="16">
        <f t="shared" si="0"/>
        <v>0</v>
      </c>
      <c r="Y8" s="16">
        <f t="shared" si="0"/>
        <v>0</v>
      </c>
      <c r="Z8" s="16">
        <f t="shared" si="0"/>
        <v>0</v>
      </c>
      <c r="AA8" s="16">
        <f t="shared" si="0"/>
        <v>0</v>
      </c>
      <c r="AB8" s="16">
        <f t="shared" si="0"/>
        <v>0</v>
      </c>
    </row>
    <row r="9" spans="1:28" ht="16" x14ac:dyDescent="0.4">
      <c r="A9" s="2" t="s">
        <v>37</v>
      </c>
      <c r="B9" s="16">
        <f t="shared" si="1"/>
        <v>-5.6833632098489267E-2</v>
      </c>
      <c r="C9" s="16"/>
      <c r="D9" s="16">
        <f t="shared" si="0"/>
        <v>0</v>
      </c>
      <c r="E9" s="16">
        <f t="shared" si="0"/>
        <v>0</v>
      </c>
      <c r="F9" s="16">
        <f t="shared" si="0"/>
        <v>0</v>
      </c>
      <c r="G9" s="16">
        <f t="shared" si="0"/>
        <v>0</v>
      </c>
      <c r="H9" s="16">
        <f t="shared" si="0"/>
        <v>0</v>
      </c>
      <c r="I9" s="29">
        <f t="shared" si="0"/>
        <v>0</v>
      </c>
      <c r="J9" s="16"/>
      <c r="K9" s="16">
        <f t="shared" si="0"/>
        <v>-5.6833632098489267E-2</v>
      </c>
      <c r="L9" s="16"/>
      <c r="M9" s="16">
        <f t="shared" si="0"/>
        <v>-3.8226711460926335E-2</v>
      </c>
      <c r="N9" s="16">
        <f t="shared" si="0"/>
        <v>0</v>
      </c>
      <c r="O9" s="16">
        <f t="shared" si="0"/>
        <v>0</v>
      </c>
      <c r="P9" s="27">
        <f t="shared" si="0"/>
        <v>-3.8226711460926321E-2</v>
      </c>
      <c r="Q9" s="16"/>
      <c r="R9" s="16">
        <f t="shared" si="0"/>
        <v>-1.8606920637562918E-2</v>
      </c>
      <c r="S9" s="16">
        <f t="shared" si="0"/>
        <v>0</v>
      </c>
      <c r="T9" s="27">
        <f t="shared" si="0"/>
        <v>-1.8606920637562918E-2</v>
      </c>
      <c r="U9" s="16"/>
      <c r="V9" s="16">
        <f t="shared" si="0"/>
        <v>0</v>
      </c>
      <c r="W9" s="16"/>
      <c r="X9" s="16">
        <f t="shared" si="0"/>
        <v>0</v>
      </c>
      <c r="Y9" s="16">
        <f t="shared" si="0"/>
        <v>0</v>
      </c>
      <c r="Z9" s="16">
        <f t="shared" si="0"/>
        <v>0</v>
      </c>
      <c r="AA9" s="16">
        <f t="shared" si="0"/>
        <v>0</v>
      </c>
      <c r="AB9" s="16">
        <f t="shared" si="0"/>
        <v>0</v>
      </c>
    </row>
    <row r="10" spans="1:28" ht="16" x14ac:dyDescent="0.4">
      <c r="A10" s="2" t="s">
        <v>38</v>
      </c>
      <c r="B10" s="16">
        <f t="shared" si="1"/>
        <v>-5.5927464694228657E-2</v>
      </c>
      <c r="C10" s="16"/>
      <c r="D10" s="16">
        <f t="shared" si="0"/>
        <v>0</v>
      </c>
      <c r="E10" s="16">
        <f t="shared" si="0"/>
        <v>0</v>
      </c>
      <c r="F10" s="16">
        <f t="shared" si="0"/>
        <v>0</v>
      </c>
      <c r="G10" s="16">
        <f t="shared" si="0"/>
        <v>0</v>
      </c>
      <c r="H10" s="16">
        <f t="shared" si="0"/>
        <v>0</v>
      </c>
      <c r="I10" s="29">
        <f t="shared" si="0"/>
        <v>0</v>
      </c>
      <c r="J10" s="16"/>
      <c r="K10" s="16">
        <f t="shared" si="0"/>
        <v>-5.5927464694228574E-2</v>
      </c>
      <c r="L10" s="16"/>
      <c r="M10" s="16">
        <f t="shared" si="0"/>
        <v>-4.4565591062423596E-2</v>
      </c>
      <c r="N10" s="16">
        <f t="shared" si="0"/>
        <v>0</v>
      </c>
      <c r="O10" s="16">
        <f t="shared" si="0"/>
        <v>0</v>
      </c>
      <c r="P10" s="27">
        <f t="shared" si="0"/>
        <v>-4.4565591062423637E-2</v>
      </c>
      <c r="Q10" s="16"/>
      <c r="R10" s="16">
        <f t="shared" si="0"/>
        <v>-1.1361873631804992E-2</v>
      </c>
      <c r="S10" s="16">
        <f t="shared" si="0"/>
        <v>0</v>
      </c>
      <c r="T10" s="27">
        <f t="shared" si="0"/>
        <v>-1.1361873631804964E-2</v>
      </c>
      <c r="U10" s="16"/>
      <c r="V10" s="16">
        <f t="shared" si="0"/>
        <v>0</v>
      </c>
      <c r="W10" s="16"/>
      <c r="X10" s="16">
        <f t="shared" si="0"/>
        <v>0</v>
      </c>
      <c r="Y10" s="16">
        <f t="shared" si="0"/>
        <v>0</v>
      </c>
      <c r="Z10" s="16">
        <f t="shared" si="0"/>
        <v>0</v>
      </c>
      <c r="AA10" s="16">
        <f t="shared" si="0"/>
        <v>0</v>
      </c>
      <c r="AB10" s="16">
        <f t="shared" si="0"/>
        <v>0</v>
      </c>
    </row>
    <row r="11" spans="1:28" ht="16" x14ac:dyDescent="0.4">
      <c r="A11" s="2" t="s">
        <v>39</v>
      </c>
      <c r="B11" s="16">
        <f t="shared" si="1"/>
        <v>-6.2914188071915067E-2</v>
      </c>
      <c r="C11" s="16"/>
      <c r="D11" s="16">
        <f t="shared" si="0"/>
        <v>0</v>
      </c>
      <c r="E11" s="16">
        <f t="shared" si="0"/>
        <v>0</v>
      </c>
      <c r="F11" s="16">
        <f t="shared" si="0"/>
        <v>0</v>
      </c>
      <c r="G11" s="16">
        <f t="shared" si="0"/>
        <v>0</v>
      </c>
      <c r="H11" s="16">
        <f t="shared" si="0"/>
        <v>0</v>
      </c>
      <c r="I11" s="29">
        <f t="shared" si="0"/>
        <v>0</v>
      </c>
      <c r="J11" s="16"/>
      <c r="K11" s="16">
        <f t="shared" si="0"/>
        <v>-6.2914188071915012E-2</v>
      </c>
      <c r="L11" s="16"/>
      <c r="M11" s="16">
        <f t="shared" si="0"/>
        <v>-5.2286223274233601E-2</v>
      </c>
      <c r="N11" s="16">
        <f t="shared" si="0"/>
        <v>0</v>
      </c>
      <c r="O11" s="16">
        <f t="shared" si="0"/>
        <v>0</v>
      </c>
      <c r="P11" s="27">
        <f t="shared" si="0"/>
        <v>-5.2286223274233601E-2</v>
      </c>
      <c r="Q11" s="16"/>
      <c r="R11" s="16">
        <f t="shared" si="0"/>
        <v>-1.0627964797681411E-2</v>
      </c>
      <c r="S11" s="16">
        <f t="shared" si="0"/>
        <v>0</v>
      </c>
      <c r="T11" s="27">
        <f t="shared" si="0"/>
        <v>-1.0627964797681411E-2</v>
      </c>
      <c r="U11" s="16"/>
      <c r="V11" s="16">
        <f t="shared" si="0"/>
        <v>0</v>
      </c>
      <c r="W11" s="16"/>
      <c r="X11" s="16">
        <f t="shared" si="0"/>
        <v>0</v>
      </c>
      <c r="Y11" s="16">
        <f t="shared" si="0"/>
        <v>0</v>
      </c>
      <c r="Z11" s="16">
        <f t="shared" si="0"/>
        <v>0</v>
      </c>
      <c r="AA11" s="16">
        <f t="shared" si="0"/>
        <v>0</v>
      </c>
      <c r="AB11" s="16">
        <f t="shared" si="0"/>
        <v>0</v>
      </c>
    </row>
    <row r="12" spans="1:28" ht="16" x14ac:dyDescent="0.4">
      <c r="A12" s="2" t="s">
        <v>40</v>
      </c>
      <c r="B12" s="16">
        <f t="shared" si="1"/>
        <v>-6.1578298195609005E-2</v>
      </c>
      <c r="C12" s="16"/>
      <c r="D12" s="16">
        <f t="shared" si="0"/>
        <v>0</v>
      </c>
      <c r="E12" s="16">
        <f t="shared" si="0"/>
        <v>0</v>
      </c>
      <c r="F12" s="16">
        <f t="shared" si="0"/>
        <v>0</v>
      </c>
      <c r="G12" s="16">
        <f t="shared" si="0"/>
        <v>0</v>
      </c>
      <c r="H12" s="16">
        <f t="shared" si="0"/>
        <v>0</v>
      </c>
      <c r="I12" s="29">
        <f t="shared" si="0"/>
        <v>0</v>
      </c>
      <c r="J12" s="16"/>
      <c r="K12" s="16">
        <f t="shared" si="0"/>
        <v>-6.157829819560906E-2</v>
      </c>
      <c r="L12" s="16"/>
      <c r="M12" s="16">
        <f t="shared" si="0"/>
        <v>-5.3063493297818537E-2</v>
      </c>
      <c r="N12" s="16">
        <f t="shared" si="0"/>
        <v>0</v>
      </c>
      <c r="O12" s="16">
        <f t="shared" si="0"/>
        <v>0</v>
      </c>
      <c r="P12" s="27">
        <f t="shared" si="0"/>
        <v>-5.3063493297818565E-2</v>
      </c>
      <c r="Q12" s="16"/>
      <c r="R12" s="16">
        <f t="shared" si="0"/>
        <v>-8.5148048977904955E-3</v>
      </c>
      <c r="S12" s="16">
        <f t="shared" si="0"/>
        <v>0</v>
      </c>
      <c r="T12" s="27">
        <f t="shared" si="0"/>
        <v>-8.5148048977905511E-3</v>
      </c>
      <c r="U12" s="16"/>
      <c r="V12" s="16">
        <f t="shared" si="0"/>
        <v>0</v>
      </c>
      <c r="W12" s="16"/>
      <c r="X12" s="16">
        <f t="shared" si="0"/>
        <v>0</v>
      </c>
      <c r="Y12" s="16">
        <f t="shared" si="0"/>
        <v>0</v>
      </c>
      <c r="Z12" s="16">
        <f t="shared" si="0"/>
        <v>0</v>
      </c>
      <c r="AA12" s="16">
        <f t="shared" si="0"/>
        <v>0</v>
      </c>
      <c r="AB12" s="16">
        <f t="shared" si="0"/>
        <v>0</v>
      </c>
    </row>
    <row r="22" spans="1:28" ht="16" x14ac:dyDescent="0.4">
      <c r="A22" s="1" t="s">
        <v>0</v>
      </c>
      <c r="B22" s="1"/>
      <c r="C22" s="1"/>
      <c r="D22" s="1"/>
      <c r="E22" s="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8" ht="48" x14ac:dyDescent="0.4">
      <c r="A23" s="25" t="s">
        <v>41</v>
      </c>
      <c r="B23" s="3" t="s">
        <v>1</v>
      </c>
      <c r="C23" s="2"/>
      <c r="D23" s="4" t="s">
        <v>2</v>
      </c>
      <c r="E23" s="4"/>
      <c r="F23" s="4"/>
      <c r="G23" s="4"/>
      <c r="H23" s="4"/>
      <c r="I23" s="4"/>
      <c r="J23" s="2"/>
      <c r="K23" s="3" t="s">
        <v>3</v>
      </c>
      <c r="L23" s="2"/>
      <c r="M23" s="4" t="s">
        <v>4</v>
      </c>
      <c r="N23" s="5"/>
      <c r="O23" s="5"/>
      <c r="P23" s="5"/>
      <c r="Q23" s="6"/>
      <c r="R23" s="4" t="s">
        <v>5</v>
      </c>
      <c r="S23" s="5"/>
      <c r="T23" s="5"/>
      <c r="V23" s="3" t="s">
        <v>6</v>
      </c>
      <c r="W23" s="6"/>
      <c r="X23" s="7" t="s">
        <v>7</v>
      </c>
      <c r="Y23" s="7"/>
      <c r="Z23" s="7"/>
      <c r="AA23" s="7"/>
      <c r="AB23" s="7"/>
    </row>
    <row r="24" spans="1:28" ht="32" x14ac:dyDescent="0.4">
      <c r="A24" s="2"/>
      <c r="B24" s="2"/>
      <c r="C24" s="2"/>
      <c r="D24" s="8" t="s">
        <v>8</v>
      </c>
      <c r="E24" s="2"/>
      <c r="F24" s="2"/>
      <c r="G24" s="9" t="s">
        <v>9</v>
      </c>
      <c r="H24" s="9"/>
      <c r="I24" s="9"/>
      <c r="J24" s="2"/>
      <c r="K24" s="2"/>
      <c r="L24" s="2"/>
      <c r="M24" s="10" t="s">
        <v>10</v>
      </c>
      <c r="N24" s="11" t="s">
        <v>11</v>
      </c>
      <c r="O24" s="11"/>
      <c r="P24" s="11"/>
      <c r="Q24" s="12"/>
      <c r="R24" s="10" t="s">
        <v>12</v>
      </c>
      <c r="S24" s="11" t="s">
        <v>13</v>
      </c>
      <c r="T24" s="11"/>
      <c r="V24" s="10" t="s">
        <v>14</v>
      </c>
      <c r="X24" s="10" t="s">
        <v>15</v>
      </c>
      <c r="Y24" s="11" t="s">
        <v>16</v>
      </c>
      <c r="Z24" s="11"/>
      <c r="AA24" s="11"/>
      <c r="AB24" s="11"/>
    </row>
    <row r="25" spans="1:28" s="14" customFormat="1" ht="64" x14ac:dyDescent="0.4">
      <c r="A25" s="13"/>
      <c r="B25" s="13"/>
      <c r="C25" s="13"/>
      <c r="E25" s="15" t="s">
        <v>17</v>
      </c>
      <c r="F25" s="13" t="s">
        <v>18</v>
      </c>
      <c r="G25" s="13" t="s">
        <v>19</v>
      </c>
      <c r="H25" s="13" t="s">
        <v>20</v>
      </c>
      <c r="I25" s="13" t="s">
        <v>21</v>
      </c>
      <c r="J25" s="13"/>
      <c r="K25" s="13"/>
      <c r="L25" s="13"/>
      <c r="M25" s="8"/>
      <c r="N25" s="13" t="s">
        <v>22</v>
      </c>
      <c r="O25" s="13" t="s">
        <v>23</v>
      </c>
      <c r="P25" s="13" t="s">
        <v>24</v>
      </c>
      <c r="S25" s="13" t="s">
        <v>25</v>
      </c>
      <c r="T25" s="13" t="s">
        <v>26</v>
      </c>
      <c r="V25" s="14" t="s">
        <v>27</v>
      </c>
      <c r="Y25" s="14" t="s">
        <v>28</v>
      </c>
      <c r="Z25" s="14" t="s">
        <v>29</v>
      </c>
      <c r="AA25" s="14" t="s">
        <v>30</v>
      </c>
      <c r="AB25" s="13" t="s">
        <v>31</v>
      </c>
    </row>
    <row r="26" spans="1:28" ht="16" x14ac:dyDescent="0.4">
      <c r="A26" s="2" t="s">
        <v>32</v>
      </c>
      <c r="B26" s="16">
        <v>-0.59669311832349448</v>
      </c>
      <c r="C26" s="17"/>
      <c r="D26" s="18">
        <v>-0.40608411849951037</v>
      </c>
      <c r="E26" s="19">
        <v>-0.49659070787292697</v>
      </c>
      <c r="F26" s="19">
        <v>9.0506589373416602E-2</v>
      </c>
      <c r="G26" s="19">
        <v>0</v>
      </c>
      <c r="H26" s="17">
        <v>0</v>
      </c>
      <c r="I26" s="20">
        <v>-0.49659070787292697</v>
      </c>
      <c r="J26" s="21"/>
      <c r="K26" s="18">
        <v>-0.19060899982398402</v>
      </c>
      <c r="L26" s="21"/>
      <c r="M26" s="18">
        <v>-0.49934216115045776</v>
      </c>
      <c r="N26" s="17">
        <v>0</v>
      </c>
      <c r="O26" s="17">
        <v>-0.27793256650730497</v>
      </c>
      <c r="P26" s="20">
        <v>-0.2214095946431528</v>
      </c>
      <c r="R26" s="18">
        <v>0.44530218131426502</v>
      </c>
      <c r="S26" s="17">
        <v>0</v>
      </c>
      <c r="T26" s="20">
        <v>0.44530218131426502</v>
      </c>
      <c r="U26" s="22"/>
      <c r="V26" s="23">
        <v>-0.3</v>
      </c>
      <c r="X26" s="24">
        <v>0.16343098001220871</v>
      </c>
      <c r="Y26" s="17">
        <v>0</v>
      </c>
      <c r="Z26" s="17">
        <v>-2.3738219379538301E-2</v>
      </c>
      <c r="AA26" s="17">
        <v>0.187169199391747</v>
      </c>
      <c r="AB26" s="20">
        <v>0</v>
      </c>
    </row>
    <row r="27" spans="1:28" ht="16" x14ac:dyDescent="0.4">
      <c r="A27" s="2" t="s">
        <v>33</v>
      </c>
      <c r="B27" s="16">
        <v>-0.24063245975924463</v>
      </c>
      <c r="C27" s="17"/>
      <c r="D27" s="18">
        <v>-0.18712217680795862</v>
      </c>
      <c r="E27" s="19">
        <v>1.83533240147938E-3</v>
      </c>
      <c r="F27" s="19">
        <v>-0.18895750920943799</v>
      </c>
      <c r="G27" s="19">
        <v>0.25855940422904139</v>
      </c>
      <c r="H27" s="17">
        <v>0</v>
      </c>
      <c r="I27" s="20">
        <v>-0.25672407182756202</v>
      </c>
      <c r="J27" s="21"/>
      <c r="K27" s="18">
        <v>-5.3510282951286015E-2</v>
      </c>
      <c r="L27" s="21"/>
      <c r="M27" s="18">
        <v>-0.29645247637541472</v>
      </c>
      <c r="N27" s="17">
        <v>0.36878074930840943</v>
      </c>
      <c r="O27" s="17">
        <v>-0.40944270920465997</v>
      </c>
      <c r="P27" s="20">
        <v>-0.25579051647916418</v>
      </c>
      <c r="R27" s="18">
        <v>0.458370353444228</v>
      </c>
      <c r="S27" s="17">
        <v>-2.9737507115553567E-2</v>
      </c>
      <c r="T27" s="20">
        <v>0.48810786055978156</v>
      </c>
      <c r="U27" s="22"/>
      <c r="V27" s="23">
        <v>-0.3</v>
      </c>
      <c r="X27" s="24">
        <v>8.4571839979900698E-2</v>
      </c>
      <c r="Y27" s="17">
        <v>0</v>
      </c>
      <c r="Z27" s="17">
        <v>-2.9602535065966301E-2</v>
      </c>
      <c r="AA27" s="17">
        <v>0.114174375045867</v>
      </c>
      <c r="AB27" s="20">
        <v>0</v>
      </c>
    </row>
    <row r="28" spans="1:28" ht="16" x14ac:dyDescent="0.4">
      <c r="A28" s="2" t="s">
        <v>34</v>
      </c>
      <c r="B28" s="16">
        <v>-1.544487673139658</v>
      </c>
      <c r="C28" s="17"/>
      <c r="D28" s="18">
        <v>-0.59616522255533</v>
      </c>
      <c r="E28" s="19">
        <v>-0.40818665265298099</v>
      </c>
      <c r="F28" s="19">
        <v>-0.18797856990234901</v>
      </c>
      <c r="G28" s="19">
        <v>0.13072230777033905</v>
      </c>
      <c r="H28" s="17">
        <v>-0.6</v>
      </c>
      <c r="I28" s="20">
        <v>6.109103957667994E-2</v>
      </c>
      <c r="J28" s="21"/>
      <c r="K28" s="18">
        <v>-0.94832245058432796</v>
      </c>
      <c r="L28" s="21"/>
      <c r="M28" s="18">
        <v>-0.32380840531359845</v>
      </c>
      <c r="N28" s="17">
        <v>0.24653238397114546</v>
      </c>
      <c r="O28" s="17">
        <v>-0.358948559658543</v>
      </c>
      <c r="P28" s="20">
        <v>-0.21139222962620086</v>
      </c>
      <c r="R28" s="18">
        <v>0.45968169322316399</v>
      </c>
      <c r="S28" s="17">
        <v>-4.8516192113432111E-2</v>
      </c>
      <c r="T28" s="20">
        <v>0.50819788533659604</v>
      </c>
      <c r="U28" s="22"/>
      <c r="V28" s="23">
        <v>-0.3</v>
      </c>
      <c r="X28" s="24">
        <v>-0.78419573849389357</v>
      </c>
      <c r="Y28" s="17">
        <v>-0.9</v>
      </c>
      <c r="Z28" s="17">
        <v>-2.4548492152382501E-2</v>
      </c>
      <c r="AA28" s="17">
        <v>0.14035275365848901</v>
      </c>
      <c r="AB28" s="20">
        <v>0</v>
      </c>
    </row>
    <row r="29" spans="1:28" ht="16" x14ac:dyDescent="0.4">
      <c r="A29" s="2" t="s">
        <v>35</v>
      </c>
      <c r="B29" s="16">
        <v>2.7882728663659213</v>
      </c>
      <c r="C29" s="17"/>
      <c r="D29" s="18">
        <v>0.70673922128647704</v>
      </c>
      <c r="E29" s="19">
        <v>0.89353248872401803</v>
      </c>
      <c r="F29" s="19">
        <v>-0.18679326743754099</v>
      </c>
      <c r="G29" s="19">
        <v>0.22274524405415508</v>
      </c>
      <c r="H29" s="17">
        <v>0.6</v>
      </c>
      <c r="I29" s="20">
        <v>7.078724466986297E-2</v>
      </c>
      <c r="J29" s="21"/>
      <c r="K29" s="18">
        <v>2.0815336450794444</v>
      </c>
      <c r="L29" s="21"/>
      <c r="M29" s="18">
        <v>-6.3456376981558593E-2</v>
      </c>
      <c r="N29" s="17">
        <v>0.56778602790578925</v>
      </c>
      <c r="O29" s="17">
        <v>-0.28507785389843898</v>
      </c>
      <c r="P29" s="20">
        <v>-0.34616455098890886</v>
      </c>
      <c r="R29" s="18">
        <v>0.49391156794241398</v>
      </c>
      <c r="S29" s="17">
        <v>-4.5972445743988649E-2</v>
      </c>
      <c r="T29" s="20">
        <v>0.5398840136864026</v>
      </c>
      <c r="U29" s="22"/>
      <c r="V29" s="23">
        <v>-0.3</v>
      </c>
      <c r="X29" s="24">
        <v>1.9510784541185888</v>
      </c>
      <c r="Y29" s="17">
        <v>1.6</v>
      </c>
      <c r="Z29" s="17">
        <v>-2.2803875892856401E-2</v>
      </c>
      <c r="AA29" s="17">
        <v>0.313882330011445</v>
      </c>
      <c r="AB29" s="20">
        <v>0.06</v>
      </c>
    </row>
    <row r="30" spans="1:28" ht="16" x14ac:dyDescent="0.4">
      <c r="A30" s="2" t="s">
        <v>36</v>
      </c>
      <c r="B30" s="16">
        <v>-0.37084764891193178</v>
      </c>
      <c r="C30" s="17"/>
      <c r="D30" s="18">
        <v>-0.1728216674432787</v>
      </c>
      <c r="E30" s="19">
        <v>2.5063031368209299E-2</v>
      </c>
      <c r="F30" s="19">
        <v>-0.19788469881148801</v>
      </c>
      <c r="G30" s="19">
        <v>0.12541076800961129</v>
      </c>
      <c r="H30" s="17">
        <v>0</v>
      </c>
      <c r="I30" s="20">
        <v>-0.10034773664140199</v>
      </c>
      <c r="J30" s="21"/>
      <c r="K30" s="18">
        <v>-0.19802598146865308</v>
      </c>
      <c r="L30" s="21"/>
      <c r="M30" s="18">
        <v>-1.3105873782349502E-2</v>
      </c>
      <c r="N30" s="17">
        <v>0.5591119676324684</v>
      </c>
      <c r="O30" s="17">
        <v>-0.237330494878078</v>
      </c>
      <c r="P30" s="20">
        <v>-0.3348873465367399</v>
      </c>
      <c r="R30" s="18">
        <v>0.227220102008097</v>
      </c>
      <c r="S30" s="17">
        <v>-4.3733370073090777E-2</v>
      </c>
      <c r="T30" s="20">
        <v>0.27095347208118781</v>
      </c>
      <c r="U30" s="22"/>
      <c r="V30" s="23">
        <v>-0.2</v>
      </c>
      <c r="X30" s="24">
        <v>-0.21214020969440056</v>
      </c>
      <c r="Y30" s="17">
        <v>-0.5</v>
      </c>
      <c r="Z30" s="17">
        <v>-2.0976970786457501E-2</v>
      </c>
      <c r="AA30" s="17">
        <v>0.24883676109205699</v>
      </c>
      <c r="AB30" s="20">
        <v>0.06</v>
      </c>
    </row>
    <row r="31" spans="1:28" ht="16" x14ac:dyDescent="0.4">
      <c r="A31" s="2" t="s">
        <v>37</v>
      </c>
      <c r="B31" s="16">
        <v>-0.24857055267361217</v>
      </c>
      <c r="C31" s="17"/>
      <c r="D31" s="18">
        <v>-0.22708997999129629</v>
      </c>
      <c r="E31" s="19">
        <v>-3.9419277329213298E-2</v>
      </c>
      <c r="F31" s="19">
        <v>-0.18767070266208299</v>
      </c>
      <c r="G31" s="19">
        <v>7.0029300104018699E-2</v>
      </c>
      <c r="H31" s="17">
        <v>0</v>
      </c>
      <c r="I31" s="20">
        <v>-0.109448577433232</v>
      </c>
      <c r="J31" s="21"/>
      <c r="K31" s="18">
        <v>-2.1480572682315874E-2</v>
      </c>
      <c r="L31" s="21"/>
      <c r="M31" s="18">
        <v>-5.9693508562678542E-2</v>
      </c>
      <c r="N31" s="17">
        <v>0.34286665208237566</v>
      </c>
      <c r="O31" s="17">
        <v>-0.23316633730465</v>
      </c>
      <c r="P31" s="20">
        <v>-0.16939382334040418</v>
      </c>
      <c r="R31" s="18">
        <v>0.220673292383055</v>
      </c>
      <c r="S31" s="17">
        <v>-3.4118873935615635E-2</v>
      </c>
      <c r="T31" s="20">
        <v>0.25479216631867063</v>
      </c>
      <c r="U31" s="22"/>
      <c r="V31" s="23">
        <v>-0.2</v>
      </c>
      <c r="X31" s="24">
        <v>1.7539643497307689E-2</v>
      </c>
      <c r="Y31" s="17">
        <v>-0.1</v>
      </c>
      <c r="Z31" s="17">
        <v>-1.9015005404116901E-2</v>
      </c>
      <c r="AA31" s="17">
        <v>7.6554648901424605E-2</v>
      </c>
      <c r="AB31" s="20">
        <v>0.06</v>
      </c>
    </row>
    <row r="32" spans="1:28" ht="16" x14ac:dyDescent="0.4">
      <c r="A32" s="2" t="s">
        <v>38</v>
      </c>
      <c r="B32" s="16">
        <v>-0.44247373334148721</v>
      </c>
      <c r="C32" s="17"/>
      <c r="D32" s="18">
        <v>-0.33323663532548597</v>
      </c>
      <c r="E32" s="19">
        <v>-0.134754265364598</v>
      </c>
      <c r="F32" s="19">
        <v>-0.198482369960888</v>
      </c>
      <c r="G32" s="19">
        <v>-6.4345258995419929E-3</v>
      </c>
      <c r="H32" s="17">
        <v>0</v>
      </c>
      <c r="I32" s="20">
        <v>-0.12831973946505601</v>
      </c>
      <c r="J32" s="21"/>
      <c r="K32" s="18">
        <v>-0.10923709801600121</v>
      </c>
      <c r="L32" s="21"/>
      <c r="M32" s="18">
        <v>-2.5261297303468801E-2</v>
      </c>
      <c r="N32" s="17">
        <v>0.33784148835619743</v>
      </c>
      <c r="O32" s="17">
        <v>-0.23056211526934639</v>
      </c>
      <c r="P32" s="20">
        <v>-0.13254067039031986</v>
      </c>
      <c r="R32" s="18">
        <v>0.221269725293885</v>
      </c>
      <c r="S32" s="17">
        <v>-8.1669332766200239E-2</v>
      </c>
      <c r="T32" s="20">
        <v>0.30293905806008525</v>
      </c>
      <c r="U32" s="22"/>
      <c r="V32" s="23">
        <v>-0.2</v>
      </c>
      <c r="X32" s="24">
        <v>-0.1052455260064174</v>
      </c>
      <c r="Y32" s="17">
        <v>-0.1</v>
      </c>
      <c r="Z32" s="17">
        <v>-1.2025895631619E-2</v>
      </c>
      <c r="AA32" s="17">
        <v>-5.3219630374798398E-2</v>
      </c>
      <c r="AB32" s="20">
        <v>0.06</v>
      </c>
    </row>
    <row r="33" spans="1:28" ht="16" x14ac:dyDescent="0.4">
      <c r="A33" s="2" t="s">
        <v>39</v>
      </c>
      <c r="B33" s="16">
        <v>-0.51306908315748756</v>
      </c>
      <c r="C33" s="17"/>
      <c r="D33" s="18">
        <v>-0.26678026028479251</v>
      </c>
      <c r="E33" s="19">
        <v>-6.4067477393471503E-2</v>
      </c>
      <c r="F33" s="19">
        <v>-0.202712782891321</v>
      </c>
      <c r="G33" s="19">
        <v>-8.6757820870570004E-3</v>
      </c>
      <c r="H33" s="17">
        <v>0</v>
      </c>
      <c r="I33" s="20">
        <v>-5.5391695306414503E-2</v>
      </c>
      <c r="J33" s="21"/>
      <c r="K33" s="18">
        <v>-0.24628882287269502</v>
      </c>
      <c r="L33" s="21"/>
      <c r="M33" s="18">
        <v>-0.14357345371231162</v>
      </c>
      <c r="N33" s="17">
        <v>0.45231205190082657</v>
      </c>
      <c r="O33" s="17">
        <v>-0.22860907638783701</v>
      </c>
      <c r="P33" s="20">
        <v>-0.36727642922530124</v>
      </c>
      <c r="R33" s="18">
        <v>0.21733347831032501</v>
      </c>
      <c r="S33" s="17">
        <v>-8.1020765400048003E-2</v>
      </c>
      <c r="T33" s="20">
        <v>0.298354243710373</v>
      </c>
      <c r="U33" s="22"/>
      <c r="V33" s="23">
        <v>-0.1</v>
      </c>
      <c r="X33" s="24">
        <v>-0.22004884747070841</v>
      </c>
      <c r="Y33" s="17">
        <v>0</v>
      </c>
      <c r="Z33" s="17">
        <v>-1.14904795380124E-2</v>
      </c>
      <c r="AA33" s="17">
        <v>-0.268558367932696</v>
      </c>
      <c r="AB33" s="20">
        <v>0.06</v>
      </c>
    </row>
    <row r="34" spans="1:28" ht="16" x14ac:dyDescent="0.4">
      <c r="A34" s="2" t="s">
        <v>40</v>
      </c>
      <c r="B34" s="16">
        <v>-0.46852925370736398</v>
      </c>
      <c r="C34" s="17"/>
      <c r="D34" s="18">
        <v>-0.30191172274618699</v>
      </c>
      <c r="E34" s="19">
        <v>-0.110727166879507</v>
      </c>
      <c r="F34" s="19">
        <v>-0.19118455586668001</v>
      </c>
      <c r="G34" s="19">
        <v>-8.4704580042369998E-3</v>
      </c>
      <c r="H34" s="17">
        <v>0</v>
      </c>
      <c r="I34" s="20">
        <v>-0.10225670887527</v>
      </c>
      <c r="J34" s="21"/>
      <c r="K34" s="18">
        <v>-0.16661753096117701</v>
      </c>
      <c r="L34" s="21"/>
      <c r="M34" s="18">
        <v>3.4394762181181454E-2</v>
      </c>
      <c r="N34" s="17">
        <v>0.442884840644587</v>
      </c>
      <c r="O34" s="17">
        <v>-9.8285195354520197E-2</v>
      </c>
      <c r="P34" s="20">
        <v>-0.31020488310888539</v>
      </c>
      <c r="R34" s="18">
        <v>0.21372986920189199</v>
      </c>
      <c r="S34" s="17">
        <v>-7.8572555193289206E-2</v>
      </c>
      <c r="T34" s="20">
        <v>0.29230242439518117</v>
      </c>
      <c r="U34" s="22"/>
      <c r="V34" s="23">
        <v>-0.1</v>
      </c>
      <c r="X34" s="24">
        <v>-0.31474216234425045</v>
      </c>
      <c r="Y34" s="17">
        <v>0</v>
      </c>
      <c r="Z34" s="17">
        <v>-9.5126456296744898E-3</v>
      </c>
      <c r="AA34" s="17">
        <v>-0.36522951671457599</v>
      </c>
      <c r="AB34" s="20">
        <v>0.06</v>
      </c>
    </row>
    <row r="35" spans="1:28" ht="16" x14ac:dyDescent="0.4">
      <c r="A35" s="2"/>
      <c r="B35" s="2"/>
      <c r="C35" s="2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pans="1:28" ht="48" x14ac:dyDescent="0.4">
      <c r="A36" s="25" t="s">
        <v>42</v>
      </c>
      <c r="B36" s="3" t="s">
        <v>1</v>
      </c>
      <c r="C36" s="2"/>
      <c r="D36" s="4" t="s">
        <v>2</v>
      </c>
      <c r="E36" s="4"/>
      <c r="F36" s="4"/>
      <c r="G36" s="4"/>
      <c r="H36" s="4"/>
      <c r="I36" s="4"/>
      <c r="J36" s="2"/>
      <c r="K36" s="3" t="s">
        <v>3</v>
      </c>
      <c r="L36" s="2"/>
      <c r="M36" s="4" t="s">
        <v>4</v>
      </c>
      <c r="N36" s="5"/>
      <c r="O36" s="5"/>
      <c r="P36" s="5"/>
      <c r="Q36" s="6"/>
      <c r="R36" s="4" t="s">
        <v>5</v>
      </c>
      <c r="S36" s="5"/>
      <c r="T36" s="5"/>
      <c r="V36" s="3" t="s">
        <v>6</v>
      </c>
      <c r="W36" s="6"/>
      <c r="X36" s="7" t="s">
        <v>7</v>
      </c>
      <c r="Y36" s="7"/>
      <c r="Z36" s="7"/>
      <c r="AA36" s="7"/>
      <c r="AB36" s="7"/>
    </row>
    <row r="37" spans="1:28" ht="32" x14ac:dyDescent="0.4">
      <c r="A37" s="2"/>
      <c r="B37" s="2"/>
      <c r="C37" s="2"/>
      <c r="D37" s="8" t="s">
        <v>8</v>
      </c>
      <c r="E37" s="2"/>
      <c r="F37" s="2"/>
      <c r="G37" s="9" t="s">
        <v>9</v>
      </c>
      <c r="H37" s="9"/>
      <c r="I37" s="9"/>
      <c r="J37" s="2"/>
      <c r="K37" s="2"/>
      <c r="L37" s="2"/>
      <c r="M37" s="10" t="s">
        <v>10</v>
      </c>
      <c r="N37" s="11" t="s">
        <v>11</v>
      </c>
      <c r="O37" s="11"/>
      <c r="P37" s="11"/>
      <c r="Q37" s="12"/>
      <c r="R37" s="10" t="s">
        <v>12</v>
      </c>
      <c r="S37" s="11" t="s">
        <v>13</v>
      </c>
      <c r="T37" s="11"/>
      <c r="V37" s="10" t="s">
        <v>14</v>
      </c>
      <c r="X37" s="10" t="s">
        <v>15</v>
      </c>
      <c r="Y37" s="11" t="s">
        <v>16</v>
      </c>
      <c r="Z37" s="11"/>
      <c r="AA37" s="11"/>
      <c r="AB37" s="11"/>
    </row>
    <row r="38" spans="1:28" ht="64" x14ac:dyDescent="0.4">
      <c r="A38" s="13"/>
      <c r="B38" s="13"/>
      <c r="C38" s="13"/>
      <c r="D38" s="14"/>
      <c r="E38" s="15" t="s">
        <v>17</v>
      </c>
      <c r="F38" s="13" t="s">
        <v>18</v>
      </c>
      <c r="G38" s="13" t="s">
        <v>19</v>
      </c>
      <c r="H38" s="13" t="s">
        <v>20</v>
      </c>
      <c r="I38" s="13" t="s">
        <v>21</v>
      </c>
      <c r="J38" s="13"/>
      <c r="K38" s="13"/>
      <c r="L38" s="13"/>
      <c r="M38" s="8"/>
      <c r="N38" s="13" t="s">
        <v>22</v>
      </c>
      <c r="O38" s="13" t="s">
        <v>23</v>
      </c>
      <c r="P38" s="13" t="s">
        <v>24</v>
      </c>
      <c r="Q38" s="14"/>
      <c r="R38" s="14"/>
      <c r="S38" s="13" t="s">
        <v>25</v>
      </c>
      <c r="T38" s="13" t="s">
        <v>26</v>
      </c>
      <c r="U38" s="14"/>
      <c r="V38" s="14" t="s">
        <v>27</v>
      </c>
      <c r="W38" s="14"/>
      <c r="X38" s="14"/>
      <c r="Y38" s="14" t="s">
        <v>28</v>
      </c>
      <c r="Z38" s="14" t="s">
        <v>29</v>
      </c>
      <c r="AA38" s="14" t="s">
        <v>30</v>
      </c>
      <c r="AB38" s="13" t="s">
        <v>31</v>
      </c>
    </row>
    <row r="39" spans="1:28" ht="16" x14ac:dyDescent="0.4">
      <c r="A39" s="2" t="s">
        <v>32</v>
      </c>
      <c r="B39" s="16">
        <v>-0.59669311832349448</v>
      </c>
      <c r="C39" s="17"/>
      <c r="D39" s="18">
        <v>-0.40608411849951037</v>
      </c>
      <c r="E39" s="19">
        <v>-0.49659070787292697</v>
      </c>
      <c r="F39" s="19">
        <v>9.0506589373416602E-2</v>
      </c>
      <c r="G39" s="19">
        <v>0</v>
      </c>
      <c r="H39" s="17">
        <v>0</v>
      </c>
      <c r="I39" s="20">
        <v>-0.49659070787292697</v>
      </c>
      <c r="J39" s="21"/>
      <c r="K39" s="18">
        <v>-0.19060899982398402</v>
      </c>
      <c r="L39" s="21"/>
      <c r="M39" s="18">
        <v>-0.52308038052999606</v>
      </c>
      <c r="N39" s="17">
        <v>0</v>
      </c>
      <c r="O39" s="17">
        <v>-0.27793256650730497</v>
      </c>
      <c r="P39" s="20">
        <v>-0.24514781402269109</v>
      </c>
      <c r="R39" s="18">
        <v>0.46904040069380332</v>
      </c>
      <c r="S39" s="17">
        <v>0</v>
      </c>
      <c r="T39" s="20">
        <v>0.46904040069380332</v>
      </c>
      <c r="U39" s="22"/>
      <c r="V39" s="23">
        <v>-0.3</v>
      </c>
      <c r="X39" s="24">
        <v>0.16343098001220871</v>
      </c>
      <c r="Y39" s="17">
        <v>0</v>
      </c>
      <c r="Z39" s="17">
        <v>-2.3738219379538301E-2</v>
      </c>
      <c r="AA39" s="17">
        <v>0.187169199391747</v>
      </c>
      <c r="AB39" s="20">
        <v>0</v>
      </c>
    </row>
    <row r="40" spans="1:28" ht="16" x14ac:dyDescent="0.4">
      <c r="A40" s="2" t="s">
        <v>33</v>
      </c>
      <c r="B40" s="16">
        <v>-4.1287946132997605E-2</v>
      </c>
      <c r="C40" s="17"/>
      <c r="D40" s="18">
        <v>-0.18712217680795862</v>
      </c>
      <c r="E40" s="19">
        <v>1.83533240147938E-3</v>
      </c>
      <c r="F40" s="19">
        <v>-0.18895750920943799</v>
      </c>
      <c r="G40" s="19">
        <v>0.25855940422904139</v>
      </c>
      <c r="H40" s="17">
        <v>0</v>
      </c>
      <c r="I40" s="20">
        <v>-0.25672407182756202</v>
      </c>
      <c r="J40" s="21"/>
      <c r="K40" s="18">
        <v>0.14583423067496101</v>
      </c>
      <c r="L40" s="21"/>
      <c r="M40" s="18">
        <v>-5.0183294966898995E-4</v>
      </c>
      <c r="N40" s="17">
        <v>0.36878074930840943</v>
      </c>
      <c r="O40" s="17">
        <v>-0.40944270920465997</v>
      </c>
      <c r="P40" s="20">
        <v>4.0160126946581554E-2</v>
      </c>
      <c r="R40" s="18">
        <v>0.36314224341199181</v>
      </c>
      <c r="S40" s="17">
        <v>-2.9737507115553567E-2</v>
      </c>
      <c r="T40" s="20">
        <v>0.39287975052754537</v>
      </c>
      <c r="U40" s="22"/>
      <c r="V40" s="23">
        <v>-0.3</v>
      </c>
      <c r="X40" s="24">
        <v>8.3193820212638186E-2</v>
      </c>
      <c r="Y40" s="17">
        <v>0</v>
      </c>
      <c r="Z40" s="17">
        <v>-2.9638323362874801E-2</v>
      </c>
      <c r="AA40" s="17">
        <v>0.11283214357551299</v>
      </c>
      <c r="AB40" s="20">
        <v>0</v>
      </c>
    </row>
    <row r="41" spans="1:28" ht="16" x14ac:dyDescent="0.4">
      <c r="A41" s="2" t="s">
        <v>34</v>
      </c>
      <c r="B41" s="16">
        <v>-1.3508929982375832</v>
      </c>
      <c r="C41" s="17"/>
      <c r="D41" s="18">
        <v>-0.59616522255533</v>
      </c>
      <c r="E41" s="19">
        <v>-0.40818665265298099</v>
      </c>
      <c r="F41" s="19">
        <v>-0.18797856990234901</v>
      </c>
      <c r="G41" s="19">
        <v>0.13072230777033905</v>
      </c>
      <c r="H41" s="17">
        <v>-0.6</v>
      </c>
      <c r="I41" s="20">
        <v>6.109103957667994E-2</v>
      </c>
      <c r="J41" s="21"/>
      <c r="K41" s="18">
        <v>-0.75472777568225324</v>
      </c>
      <c r="L41" s="21"/>
      <c r="M41" s="18">
        <v>-9.4973042238750111E-2</v>
      </c>
      <c r="N41" s="17">
        <v>0.24653238397114546</v>
      </c>
      <c r="O41" s="17">
        <v>-0.358948559658543</v>
      </c>
      <c r="P41" s="20">
        <v>1.7443133448647452E-2</v>
      </c>
      <c r="R41" s="18">
        <v>0.42444100505039051</v>
      </c>
      <c r="S41" s="17">
        <v>-4.8516192113432111E-2</v>
      </c>
      <c r="T41" s="20">
        <v>0.47295719716382262</v>
      </c>
      <c r="U41" s="22"/>
      <c r="V41" s="23">
        <v>-0.3</v>
      </c>
      <c r="X41" s="24">
        <v>-0.78419573849389357</v>
      </c>
      <c r="Y41" s="17">
        <v>-0.9</v>
      </c>
      <c r="Z41" s="17">
        <v>-2.4548492152382501E-2</v>
      </c>
      <c r="AA41" s="17">
        <v>0.14035275365848901</v>
      </c>
      <c r="AB41" s="20">
        <v>0</v>
      </c>
    </row>
    <row r="42" spans="1:28" ht="16" x14ac:dyDescent="0.4">
      <c r="A42" s="2" t="s">
        <v>35</v>
      </c>
      <c r="B42" s="16">
        <v>2.7227275201111092</v>
      </c>
      <c r="C42" s="17"/>
      <c r="D42" s="18">
        <v>0.70673922128647704</v>
      </c>
      <c r="E42" s="19">
        <v>0.89353248872401803</v>
      </c>
      <c r="F42" s="19">
        <v>-0.18679326743754099</v>
      </c>
      <c r="G42" s="19">
        <v>0.22274524405415508</v>
      </c>
      <c r="H42" s="17">
        <v>0.6</v>
      </c>
      <c r="I42" s="20">
        <v>7.078724466986297E-2</v>
      </c>
      <c r="J42" s="21"/>
      <c r="K42" s="18">
        <v>2.0159882988246323</v>
      </c>
      <c r="L42" s="21"/>
      <c r="M42" s="18">
        <v>-9.2600531259197011E-2</v>
      </c>
      <c r="N42" s="17">
        <v>0.56778602790578925</v>
      </c>
      <c r="O42" s="17">
        <v>-0.28507785389843898</v>
      </c>
      <c r="P42" s="20">
        <v>-0.37530870526654725</v>
      </c>
      <c r="R42" s="18">
        <v>0.45751037596524036</v>
      </c>
      <c r="S42" s="17">
        <v>-4.5972445743988649E-2</v>
      </c>
      <c r="T42" s="20">
        <v>0.50348282170922898</v>
      </c>
      <c r="U42" s="22"/>
      <c r="V42" s="23">
        <v>-0.3</v>
      </c>
      <c r="X42" s="24">
        <v>1.9510784541185888</v>
      </c>
      <c r="Y42" s="17">
        <v>1.6</v>
      </c>
      <c r="Z42" s="17">
        <v>-2.2803875892856401E-2</v>
      </c>
      <c r="AA42" s="17">
        <v>0.313882330011445</v>
      </c>
      <c r="AB42" s="20">
        <v>0.06</v>
      </c>
    </row>
    <row r="43" spans="1:28" ht="16" x14ac:dyDescent="0.4">
      <c r="A43" s="2" t="s">
        <v>36</v>
      </c>
      <c r="B43" s="16">
        <v>-0.43601740872869177</v>
      </c>
      <c r="C43" s="17"/>
      <c r="D43" s="18">
        <v>-0.1728216674432787</v>
      </c>
      <c r="E43" s="19">
        <v>2.5063031368209299E-2</v>
      </c>
      <c r="F43" s="19">
        <v>-0.19788469881148801</v>
      </c>
      <c r="G43" s="19">
        <v>0.12541076800961129</v>
      </c>
      <c r="H43" s="17">
        <v>0</v>
      </c>
      <c r="I43" s="20">
        <v>-0.10034773664140199</v>
      </c>
      <c r="J43" s="21"/>
      <c r="K43" s="18">
        <v>-0.26319574128541307</v>
      </c>
      <c r="L43" s="21"/>
      <c r="M43" s="18">
        <v>-4.0177049523336977E-2</v>
      </c>
      <c r="N43" s="17">
        <v>0.5591119676324684</v>
      </c>
      <c r="O43" s="17">
        <v>-0.237330494878078</v>
      </c>
      <c r="P43" s="20">
        <v>-0.3619585222777274</v>
      </c>
      <c r="R43" s="18">
        <v>0.18912151793232448</v>
      </c>
      <c r="S43" s="17">
        <v>-4.3733370073090777E-2</v>
      </c>
      <c r="T43" s="20">
        <v>0.23285488800541526</v>
      </c>
      <c r="U43" s="22"/>
      <c r="V43" s="23">
        <v>-0.2</v>
      </c>
      <c r="X43" s="24">
        <v>-0.21214020969440056</v>
      </c>
      <c r="Y43" s="17">
        <v>-0.5</v>
      </c>
      <c r="Z43" s="17">
        <v>-2.0976970786457501E-2</v>
      </c>
      <c r="AA43" s="17">
        <v>0.24883676109205699</v>
      </c>
      <c r="AB43" s="20">
        <v>0.06</v>
      </c>
    </row>
    <row r="44" spans="1:28" ht="16" x14ac:dyDescent="0.4">
      <c r="A44" s="2" t="s">
        <v>37</v>
      </c>
      <c r="B44" s="16">
        <v>-0.1917369205751229</v>
      </c>
      <c r="C44" s="17"/>
      <c r="D44" s="18">
        <v>-0.22708997999129629</v>
      </c>
      <c r="E44" s="19">
        <v>-3.9419277329213298E-2</v>
      </c>
      <c r="F44" s="19">
        <v>-0.18767070266208299</v>
      </c>
      <c r="G44" s="19">
        <v>7.0029300104018699E-2</v>
      </c>
      <c r="H44" s="17">
        <v>0</v>
      </c>
      <c r="I44" s="20">
        <v>-0.109448577433232</v>
      </c>
      <c r="J44" s="21"/>
      <c r="K44" s="18">
        <v>3.5353059416173394E-2</v>
      </c>
      <c r="L44" s="21"/>
      <c r="M44" s="18">
        <v>-2.1466797101752207E-2</v>
      </c>
      <c r="N44" s="17">
        <v>0.34286665208237566</v>
      </c>
      <c r="O44" s="17">
        <v>-0.23316633730465</v>
      </c>
      <c r="P44" s="20">
        <v>-0.13116711187947785</v>
      </c>
      <c r="R44" s="18">
        <v>0.23928021302061792</v>
      </c>
      <c r="S44" s="17">
        <v>-3.4118873935615635E-2</v>
      </c>
      <c r="T44" s="20">
        <v>0.27339908695623355</v>
      </c>
      <c r="U44" s="22"/>
      <c r="V44" s="23">
        <v>-0.2</v>
      </c>
      <c r="X44" s="24">
        <v>1.7539643497307689E-2</v>
      </c>
      <c r="Y44" s="17">
        <v>-0.1</v>
      </c>
      <c r="Z44" s="17">
        <v>-1.9015005404116901E-2</v>
      </c>
      <c r="AA44" s="17">
        <v>7.6554648901424605E-2</v>
      </c>
      <c r="AB44" s="20">
        <v>0.06</v>
      </c>
    </row>
    <row r="45" spans="1:28" ht="16" x14ac:dyDescent="0.4">
      <c r="A45" s="2" t="s">
        <v>38</v>
      </c>
      <c r="B45" s="16">
        <v>-0.38654626864725855</v>
      </c>
      <c r="C45" s="17"/>
      <c r="D45" s="18">
        <v>-0.33323663532548597</v>
      </c>
      <c r="E45" s="19">
        <v>-0.134754265364598</v>
      </c>
      <c r="F45" s="19">
        <v>-0.198482369960888</v>
      </c>
      <c r="G45" s="19">
        <v>-6.4345258995419929E-3</v>
      </c>
      <c r="H45" s="17">
        <v>0</v>
      </c>
      <c r="I45" s="20">
        <v>-0.12831973946505601</v>
      </c>
      <c r="J45" s="21"/>
      <c r="K45" s="18">
        <v>-5.3309633321772631E-2</v>
      </c>
      <c r="L45" s="21"/>
      <c r="M45" s="18">
        <v>1.9304293758954795E-2</v>
      </c>
      <c r="N45" s="17">
        <v>0.33784148835619743</v>
      </c>
      <c r="O45" s="17">
        <v>-0.23056211526934639</v>
      </c>
      <c r="P45" s="20">
        <v>-8.7975079327896222E-2</v>
      </c>
      <c r="R45" s="18">
        <v>0.23263159892568999</v>
      </c>
      <c r="S45" s="17">
        <v>-8.1669332766200239E-2</v>
      </c>
      <c r="T45" s="20">
        <v>0.31430093169189022</v>
      </c>
      <c r="U45" s="22"/>
      <c r="V45" s="23">
        <v>-0.2</v>
      </c>
      <c r="X45" s="24">
        <v>-0.1052455260064174</v>
      </c>
      <c r="Y45" s="17">
        <v>-0.1</v>
      </c>
      <c r="Z45" s="17">
        <v>-1.2025895631619E-2</v>
      </c>
      <c r="AA45" s="17">
        <v>-5.3219630374798398E-2</v>
      </c>
      <c r="AB45" s="20">
        <v>0.06</v>
      </c>
    </row>
    <row r="46" spans="1:28" ht="16" x14ac:dyDescent="0.4">
      <c r="A46" s="2" t="s">
        <v>39</v>
      </c>
      <c r="B46" s="16">
        <v>-0.45015489508557249</v>
      </c>
      <c r="C46" s="17"/>
      <c r="D46" s="18">
        <v>-0.26678026028479251</v>
      </c>
      <c r="E46" s="19">
        <v>-6.4067477393471503E-2</v>
      </c>
      <c r="F46" s="19">
        <v>-0.202712782891321</v>
      </c>
      <c r="G46" s="19">
        <v>-8.6757820870570004E-3</v>
      </c>
      <c r="H46" s="17">
        <v>0</v>
      </c>
      <c r="I46" s="20">
        <v>-5.5391695306414503E-2</v>
      </c>
      <c r="J46" s="21"/>
      <c r="K46" s="18">
        <v>-0.18337463480078001</v>
      </c>
      <c r="L46" s="21"/>
      <c r="M46" s="18">
        <v>-9.1287230438078015E-2</v>
      </c>
      <c r="N46" s="17">
        <v>0.45231205190082657</v>
      </c>
      <c r="O46" s="17">
        <v>-0.22860907638783701</v>
      </c>
      <c r="P46" s="20">
        <v>-0.31499020595106764</v>
      </c>
      <c r="R46" s="18">
        <v>0.22796144310800642</v>
      </c>
      <c r="S46" s="17">
        <v>-8.1020765400048003E-2</v>
      </c>
      <c r="T46" s="20">
        <v>0.30898220850805441</v>
      </c>
      <c r="U46" s="22"/>
      <c r="V46" s="23">
        <v>-0.1</v>
      </c>
      <c r="X46" s="24">
        <v>-0.22004884747070841</v>
      </c>
      <c r="Y46" s="17">
        <v>0</v>
      </c>
      <c r="Z46" s="17">
        <v>-1.14904795380124E-2</v>
      </c>
      <c r="AA46" s="17">
        <v>-0.268558367932696</v>
      </c>
      <c r="AB46" s="20">
        <v>0.06</v>
      </c>
    </row>
    <row r="47" spans="1:28" ht="16" x14ac:dyDescent="0.4">
      <c r="A47" s="2" t="s">
        <v>40</v>
      </c>
      <c r="B47" s="16">
        <v>-0.40695095551175497</v>
      </c>
      <c r="C47" s="17"/>
      <c r="D47" s="18">
        <v>-0.30191172274618699</v>
      </c>
      <c r="E47" s="19">
        <v>-0.110727166879507</v>
      </c>
      <c r="F47" s="19">
        <v>-0.19118455586668001</v>
      </c>
      <c r="G47" s="19">
        <v>-8.4704580042369998E-3</v>
      </c>
      <c r="H47" s="17">
        <v>0</v>
      </c>
      <c r="I47" s="20">
        <v>-0.10225670887527</v>
      </c>
      <c r="J47" s="21"/>
      <c r="K47" s="18">
        <v>-0.10503923276556795</v>
      </c>
      <c r="L47" s="21"/>
      <c r="M47" s="18">
        <v>8.7458255478999991E-2</v>
      </c>
      <c r="N47" s="17">
        <v>0.442884840644587</v>
      </c>
      <c r="O47" s="17">
        <v>-9.8285195354520197E-2</v>
      </c>
      <c r="P47" s="20">
        <v>-0.25714138981106682</v>
      </c>
      <c r="R47" s="18">
        <v>0.22224467409968249</v>
      </c>
      <c r="S47" s="17">
        <v>-7.8572555193289206E-2</v>
      </c>
      <c r="T47" s="20">
        <v>0.30081722929297172</v>
      </c>
      <c r="U47" s="22"/>
      <c r="V47" s="23">
        <v>-0.1</v>
      </c>
      <c r="X47" s="24">
        <v>-0.31474216234425045</v>
      </c>
      <c r="Y47" s="17">
        <v>0</v>
      </c>
      <c r="Z47" s="17">
        <v>-9.5126456296744898E-3</v>
      </c>
      <c r="AA47" s="17">
        <v>-0.36522951671457599</v>
      </c>
      <c r="AB47" s="20">
        <v>0.06</v>
      </c>
    </row>
  </sheetData>
  <mergeCells count="25">
    <mergeCell ref="D1:I1"/>
    <mergeCell ref="M1:P1"/>
    <mergeCell ref="R1:T1"/>
    <mergeCell ref="X1:AB1"/>
    <mergeCell ref="G2:I2"/>
    <mergeCell ref="N2:P2"/>
    <mergeCell ref="S2:T2"/>
    <mergeCell ref="Y2:AB2"/>
    <mergeCell ref="D36:I36"/>
    <mergeCell ref="M36:P36"/>
    <mergeCell ref="R36:T36"/>
    <mergeCell ref="X36:AB36"/>
    <mergeCell ref="G37:I37"/>
    <mergeCell ref="N37:P37"/>
    <mergeCell ref="S37:T37"/>
    <mergeCell ref="Y37:AB37"/>
    <mergeCell ref="A22:E22"/>
    <mergeCell ref="D23:I23"/>
    <mergeCell ref="M23:P23"/>
    <mergeCell ref="R23:T23"/>
    <mergeCell ref="X23:AB23"/>
    <mergeCell ref="G24:I24"/>
    <mergeCell ref="N24:P24"/>
    <mergeCell ref="S24:T24"/>
    <mergeCell ref="Y24:AB24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9F3DB0CD4D844B918872BCED9B9CF9" ma:contentTypeVersion="18" ma:contentTypeDescription="Create a new document." ma:contentTypeScope="" ma:versionID="5ee0e719604df4a3ee65bb84ca5a499a">
  <xsd:schema xmlns:xsd="http://www.w3.org/2001/XMLSchema" xmlns:xs="http://www.w3.org/2001/XMLSchema" xmlns:p="http://schemas.microsoft.com/office/2006/metadata/properties" xmlns:ns2="cac5d118-ba7b-4807-b700-df6f95cfff50" xmlns:ns3="66951ee6-cd93-49c7-9437-e871b2a117d6" targetNamespace="http://schemas.microsoft.com/office/2006/metadata/properties" ma:root="true" ma:fieldsID="ad3cf4dc1b98083d674ec9be0a6789b0" ns2:_="" ns3:_="">
    <xsd:import namespace="cac5d118-ba7b-4807-b700-df6f95cfff50"/>
    <xsd:import namespace="66951ee6-cd93-49c7-9437-e871b2a117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5d118-ba7b-4807-b700-df6f95cff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eb4b2d4-9bb6-49a7-8a4b-ec3b3538ad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951ee6-cd93-49c7-9437-e871b2a117d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7380a03-8396-48f4-ac19-20e9dcae480c}" ma:internalName="TaxCatchAll" ma:showField="CatchAllData" ma:web="66951ee6-cd93-49c7-9437-e871b2a117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c5d118-ba7b-4807-b700-df6f95cfff50">
      <Terms xmlns="http://schemas.microsoft.com/office/infopath/2007/PartnerControls"/>
    </lcf76f155ced4ddcb4097134ff3c332f>
    <TaxCatchAll xmlns="66951ee6-cd93-49c7-9437-e871b2a117d6" xsi:nil="true"/>
  </documentManagement>
</p:properties>
</file>

<file path=customXml/itemProps1.xml><?xml version="1.0" encoding="utf-8"?>
<ds:datastoreItem xmlns:ds="http://schemas.openxmlformats.org/officeDocument/2006/customXml" ds:itemID="{8D2FDDF1-F68F-4DDC-86C1-0B28152CB32C}"/>
</file>

<file path=customXml/itemProps2.xml><?xml version="1.0" encoding="utf-8"?>
<ds:datastoreItem xmlns:ds="http://schemas.openxmlformats.org/officeDocument/2006/customXml" ds:itemID="{7C818423-447A-4BD5-A894-91989B13BA2D}"/>
</file>

<file path=customXml/itemProps3.xml><?xml version="1.0" encoding="utf-8"?>
<ds:datastoreItem xmlns:ds="http://schemas.openxmlformats.org/officeDocument/2006/customXml" ds:itemID="{3A732427-61BB-46C6-A7EF-100DFC58E6FA}"/>
</file>

<file path=docMetadata/LabelInfo.xml><?xml version="1.0" encoding="utf-8"?>
<clbl:labelList xmlns:clbl="http://schemas.microsoft.com/office/2020/mipLabelMetadata">
  <clbl:label id="{0a02388e-6178-4513-9b82-88b9dc6bf457}" enabled="0" method="" siteId="{0a02388e-6178-4513-9b82-88b9dc6bf4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Parry</dc:creator>
  <cp:lastModifiedBy>Chase Parry</cp:lastModifiedBy>
  <dcterms:created xsi:type="dcterms:W3CDTF">2025-12-05T21:43:59Z</dcterms:created>
  <dcterms:modified xsi:type="dcterms:W3CDTF">2025-12-05T21:57:32Z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0x010100FA9F3DB0CD4D844B918872BCED9B9CF9</vt:lpwstr>
  </property>
</Properties>
</file>