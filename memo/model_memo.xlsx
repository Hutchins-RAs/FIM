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mad\Downloads\FIM\memo\"/>
    </mc:Choice>
  </mc:AlternateContent>
  <xr:revisionPtr revIDLastSave="0" documentId="13_ncr:1_{8BB292B9-6FA0-4C8B-AFAD-878277ED45F9}" xr6:coauthVersionLast="47" xr6:coauthVersionMax="47" xr10:uidLastSave="{00000000-0000-0000-0000-000000000000}"/>
  <bookViews>
    <workbookView xWindow="-110" yWindow="-110" windowWidth="19420" windowHeight="11500" xr2:uid="{3EC9A5B1-3779-4A4E-BEF3-C9F0233E4A17}"/>
  </bookViews>
  <sheets>
    <sheet name="Components" sheetId="1" r:id="rId1"/>
    <sheet name="OBBBA, Tarif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F2" i="2" s="1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C3" i="2"/>
  <c r="C4" i="2"/>
  <c r="C5" i="2"/>
  <c r="C6" i="2"/>
  <c r="C7" i="2"/>
  <c r="C8" i="2"/>
  <c r="C9" i="2"/>
  <c r="C10" i="2"/>
  <c r="C2" i="2"/>
  <c r="K4" i="1"/>
  <c r="K5" i="1"/>
  <c r="K6" i="1"/>
  <c r="K7" i="1"/>
  <c r="K8" i="1"/>
  <c r="B7" i="2" s="1"/>
  <c r="F7" i="2" s="1"/>
  <c r="K9" i="1"/>
  <c r="K10" i="1"/>
  <c r="K11" i="1"/>
  <c r="K3" i="1"/>
  <c r="B4" i="1"/>
  <c r="Q4" i="1" s="1"/>
  <c r="N3" i="1"/>
  <c r="E8" i="1"/>
  <c r="E3" i="1"/>
  <c r="B3" i="1"/>
  <c r="Q3" i="1" s="1"/>
  <c r="N4" i="1"/>
  <c r="N5" i="1"/>
  <c r="N6" i="1"/>
  <c r="N7" i="1"/>
  <c r="N8" i="1"/>
  <c r="N9" i="1"/>
  <c r="N10" i="1"/>
  <c r="N11" i="1"/>
  <c r="B5" i="1"/>
  <c r="Q5" i="1" s="1"/>
  <c r="B6" i="1"/>
  <c r="Q6" i="1" s="1"/>
  <c r="B7" i="1"/>
  <c r="Q7" i="1" s="1"/>
  <c r="B8" i="1"/>
  <c r="Q8" i="1" s="1"/>
  <c r="B9" i="1"/>
  <c r="Q9" i="1" s="1"/>
  <c r="B10" i="1"/>
  <c r="Q10" i="1" s="1"/>
  <c r="B11" i="1"/>
  <c r="Q11" i="1" s="1"/>
  <c r="E4" i="1"/>
  <c r="B3" i="2" s="1"/>
  <c r="F3" i="2" s="1"/>
  <c r="E5" i="1"/>
  <c r="B4" i="2" s="1"/>
  <c r="F4" i="2" s="1"/>
  <c r="E6" i="1"/>
  <c r="B5" i="2" s="1"/>
  <c r="F5" i="2" s="1"/>
  <c r="E7" i="1"/>
  <c r="B6" i="2" s="1"/>
  <c r="F6" i="2" s="1"/>
  <c r="E9" i="1"/>
  <c r="B8" i="2" s="1"/>
  <c r="F8" i="2" s="1"/>
  <c r="E10" i="1"/>
  <c r="B9" i="2" s="1"/>
  <c r="F9" i="2" s="1"/>
  <c r="E11" i="1"/>
  <c r="B10" i="2" s="1"/>
  <c r="F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tc={523C3612-A715-4F2D-9B12-2D663682A248}</author>
  </authors>
  <commentList>
    <comment ref="I2" authorId="0" shapeId="0" xr:uid="{523C3612-A715-4F2D-9B12-2D663682A248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side effects from investment incentives</t>
      </text>
    </comment>
  </commentList>
</comments>
</file>

<file path=xl/sharedStrings.xml><?xml version="1.0" encoding="utf-8"?>
<sst xmlns="http://schemas.openxmlformats.org/spreadsheetml/2006/main" count="47" uniqueCount="38">
  <si>
    <t>2025 Q2</t>
  </si>
  <si>
    <t>2025 Q3</t>
  </si>
  <si>
    <t>2026 Q1</t>
  </si>
  <si>
    <t>2026 Q2</t>
  </si>
  <si>
    <t>2026 Q3</t>
  </si>
  <si>
    <t>2025 Q4</t>
  </si>
  <si>
    <t>2026 Q4</t>
  </si>
  <si>
    <t>Federal</t>
  </si>
  <si>
    <t xml:space="preserve">S&amp;L </t>
  </si>
  <si>
    <t xml:space="preserve">FIM </t>
  </si>
  <si>
    <t>Tariff Uncertainty</t>
  </si>
  <si>
    <t>Purchases</t>
  </si>
  <si>
    <t>Tariffs</t>
  </si>
  <si>
    <t>Fed purchases other</t>
  </si>
  <si>
    <t>Fed purchases OBBBA</t>
  </si>
  <si>
    <t>Federal Subcomponents</t>
  </si>
  <si>
    <t>Taxes</t>
  </si>
  <si>
    <t>Transfers</t>
  </si>
  <si>
    <t>(1)</t>
  </si>
  <si>
    <t>(2)</t>
  </si>
  <si>
    <t>Taxes Subcomponents</t>
  </si>
  <si>
    <t>(3)</t>
  </si>
  <si>
    <t>Transfers Subcomponents</t>
  </si>
  <si>
    <t>Taxes OBBBA</t>
  </si>
  <si>
    <t>Taxes Other</t>
  </si>
  <si>
    <t>(4)</t>
  </si>
  <si>
    <t>(5)</t>
  </si>
  <si>
    <t>Transfers OBBBA</t>
  </si>
  <si>
    <t>Transfers Other</t>
  </si>
  <si>
    <t>2027 Q1</t>
  </si>
  <si>
    <t>2027 Q2</t>
  </si>
  <si>
    <t>Underlying FIM</t>
  </si>
  <si>
    <t>Tariffs and Tariff Uncertainty</t>
  </si>
  <si>
    <t>Total</t>
  </si>
  <si>
    <t>Supply Side (IRA, CHIPS, student loans)</t>
  </si>
  <si>
    <t>CHIPS, IRA and Student Loans</t>
  </si>
  <si>
    <t xml:space="preserve">Supply Side OBBBA </t>
  </si>
  <si>
    <t>OBBBA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</si>
</sst>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Ahmad" id="{AA6BAE1F-D1C2-4EC8-B691-186429C83211}" userId="S::SAhmad@brookings.edu::a57a138b-f8b3-487b-af77-be2c9712b9a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5-10-08T19:37:59.41" personId="{AA6BAE1F-D1C2-4EC8-B691-186429C83211}" id="{523C3612-A715-4F2D-9B12-2D663682A248}">
    <text>Supply side effects from investment incentives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6585-F3B0-49E0-9D3E-DD8BF89408A0}">
  <dimension ref="A1:R15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I5" sqref="I5"/>
    </sheetView>
  </sheetViews>
  <sheetFormatPr defaultRowHeight="14.5" x14ac:dyDescent="0.35"/>
  <cols>
    <col min="2" max="2" width="10.453125" customWidth="1"/>
    <col min="4" max="4" width="13" customWidth="1"/>
    <col min="5" max="5" width="12.7265625" customWidth="1"/>
    <col min="7" max="7" width="12.26953125" customWidth="1"/>
    <col min="8" max="10" width="12.81640625" customWidth="1"/>
    <col min="11" max="11" width="14.1796875" customWidth="1"/>
    <col min="12" max="14" width="17.54296875" customWidth="1"/>
    <col min="15" max="15" width="15.81640625" customWidth="1"/>
    <col min="16" max="16" width="15.81640625" bestFit="1" customWidth="1"/>
    <col min="17" max="17" width="10.1796875" customWidth="1"/>
  </cols>
  <sheetData>
    <row r="1" spans="1:18" ht="34.5" customHeight="1" x14ac:dyDescent="0.35">
      <c r="B1" s="7" t="s">
        <v>18</v>
      </c>
      <c r="D1" s="13" t="s">
        <v>15</v>
      </c>
      <c r="E1" s="13"/>
      <c r="G1" s="7" t="s">
        <v>19</v>
      </c>
      <c r="H1" s="14" t="s">
        <v>20</v>
      </c>
      <c r="I1" s="14"/>
      <c r="J1" s="14"/>
      <c r="K1" s="14"/>
      <c r="L1" s="7" t="s">
        <v>21</v>
      </c>
      <c r="M1" s="14" t="s">
        <v>22</v>
      </c>
      <c r="N1" s="15"/>
      <c r="O1" s="6" t="s">
        <v>25</v>
      </c>
      <c r="P1" s="6" t="s">
        <v>26</v>
      </c>
    </row>
    <row r="2" spans="1:18" s="3" customFormat="1" ht="43.5" x14ac:dyDescent="0.35">
      <c r="B2" s="3" t="s">
        <v>11</v>
      </c>
      <c r="C2" s="3" t="s">
        <v>7</v>
      </c>
      <c r="D2" s="3" t="s">
        <v>14</v>
      </c>
      <c r="E2" s="3" t="s">
        <v>13</v>
      </c>
      <c r="F2" s="3" t="s">
        <v>8</v>
      </c>
      <c r="G2" s="3" t="s">
        <v>16</v>
      </c>
      <c r="H2" s="3" t="s">
        <v>23</v>
      </c>
      <c r="I2" s="3" t="s">
        <v>36</v>
      </c>
      <c r="J2" s="3" t="s">
        <v>12</v>
      </c>
      <c r="K2" s="3" t="s">
        <v>24</v>
      </c>
      <c r="L2" s="3" t="s">
        <v>17</v>
      </c>
      <c r="M2" s="3" t="s">
        <v>27</v>
      </c>
      <c r="N2" s="3" t="s">
        <v>28</v>
      </c>
      <c r="O2" s="3" t="s">
        <v>34</v>
      </c>
      <c r="P2" s="3" t="s">
        <v>10</v>
      </c>
      <c r="Q2" s="3" t="s">
        <v>9</v>
      </c>
    </row>
    <row r="3" spans="1:18" x14ac:dyDescent="0.35">
      <c r="A3" t="s">
        <v>0</v>
      </c>
      <c r="B3" s="9">
        <f t="shared" ref="B3:B11" si="0">C3+F3</f>
        <v>-0.40608411849950998</v>
      </c>
      <c r="C3" s="8">
        <v>-0.94596316734547603</v>
      </c>
      <c r="D3" s="8">
        <v>0</v>
      </c>
      <c r="E3" s="8">
        <f t="shared" ref="E3:E11" si="1">C3-D3</f>
        <v>-0.94596316734547603</v>
      </c>
      <c r="F3" s="8">
        <v>0.53987904884596605</v>
      </c>
      <c r="G3" s="8">
        <v>-0.55534609362365706</v>
      </c>
      <c r="H3" s="8">
        <v>0</v>
      </c>
      <c r="I3" s="8">
        <v>0</v>
      </c>
      <c r="J3" s="8">
        <v>0</v>
      </c>
      <c r="K3" s="8">
        <f t="shared" ref="K3:K11" si="2">G3-H3-J3-I3</f>
        <v>-0.55534609362365706</v>
      </c>
      <c r="L3" s="2">
        <v>0.44530218131426502</v>
      </c>
      <c r="M3" s="8">
        <v>0</v>
      </c>
      <c r="N3" s="8">
        <f t="shared" ref="N3:N11" si="3">L3-M3</f>
        <v>0.44530218131426502</v>
      </c>
      <c r="O3" s="8">
        <v>0.187169199391747</v>
      </c>
      <c r="P3">
        <v>-0.3</v>
      </c>
      <c r="Q3" s="8">
        <f t="shared" ref="Q3:Q11" si="4">B3+G3+L3+O3+P3</f>
        <v>-0.62895883141715503</v>
      </c>
      <c r="R3" s="1"/>
    </row>
    <row r="4" spans="1:18" x14ac:dyDescent="0.35">
      <c r="A4" t="s">
        <v>1</v>
      </c>
      <c r="B4" s="9">
        <f t="shared" si="0"/>
        <v>-2.5846211955506002E-2</v>
      </c>
      <c r="C4" s="8">
        <v>0.110782082236573</v>
      </c>
      <c r="D4" s="8">
        <v>0.26333063607690299</v>
      </c>
      <c r="E4" s="8">
        <f t="shared" si="1"/>
        <v>-0.15254855384033</v>
      </c>
      <c r="F4" s="8">
        <v>-0.136628294192079</v>
      </c>
      <c r="G4" s="8">
        <v>-6.1747165802640003E-3</v>
      </c>
      <c r="H4" s="8">
        <v>0.36324487286492302</v>
      </c>
      <c r="I4" s="2">
        <v>0</v>
      </c>
      <c r="J4" s="8">
        <v>-0.41325065079057494</v>
      </c>
      <c r="K4" s="8">
        <f t="shared" si="2"/>
        <v>4.3831061345387889E-2</v>
      </c>
      <c r="L4" s="2">
        <v>0.30124015726144299</v>
      </c>
      <c r="M4" s="8">
        <v>-1.1450396002126995E-2</v>
      </c>
      <c r="N4" s="8">
        <f t="shared" si="3"/>
        <v>0.31269055326356998</v>
      </c>
      <c r="O4" s="8">
        <v>0.18199766032275999</v>
      </c>
      <c r="P4">
        <v>-0.3</v>
      </c>
      <c r="Q4" s="8">
        <f t="shared" si="4"/>
        <v>0.151216889048433</v>
      </c>
      <c r="R4" s="1"/>
    </row>
    <row r="5" spans="1:18" x14ac:dyDescent="0.35">
      <c r="A5" t="s">
        <v>5</v>
      </c>
      <c r="B5" s="9">
        <f t="shared" si="0"/>
        <v>-0.13670114285673149</v>
      </c>
      <c r="C5" s="8">
        <v>-5.3072004244564798E-2</v>
      </c>
      <c r="D5" s="8">
        <v>0.1427653498416542</v>
      </c>
      <c r="E5" s="8">
        <f t="shared" si="1"/>
        <v>-0.195837354086219</v>
      </c>
      <c r="F5" s="8">
        <v>-8.3629138612166698E-2</v>
      </c>
      <c r="G5" s="8">
        <v>-9.9664057812061307E-2</v>
      </c>
      <c r="H5" s="8">
        <v>0.24139468556735838</v>
      </c>
      <c r="I5" s="8">
        <v>0</v>
      </c>
      <c r="J5" s="8">
        <v>-0.49701579830466802</v>
      </c>
      <c r="K5" s="8">
        <f t="shared" si="2"/>
        <v>0.15595705492524836</v>
      </c>
      <c r="L5" s="2">
        <v>0.33571050725373403</v>
      </c>
      <c r="M5" s="8">
        <v>-3.053325822356695E-2</v>
      </c>
      <c r="N5" s="8">
        <f t="shared" si="3"/>
        <v>0.36624376547730098</v>
      </c>
      <c r="O5" s="8">
        <v>7.1097532169157304E-2</v>
      </c>
      <c r="P5">
        <v>-0.3</v>
      </c>
      <c r="Q5" s="8">
        <f t="shared" si="4"/>
        <v>-0.12955716124590144</v>
      </c>
      <c r="R5" s="1"/>
    </row>
    <row r="6" spans="1:18" x14ac:dyDescent="0.35">
      <c r="A6" t="s">
        <v>2</v>
      </c>
      <c r="B6" s="9">
        <f t="shared" si="0"/>
        <v>0.10909178201407702</v>
      </c>
      <c r="C6" s="8">
        <v>0.24418566712940801</v>
      </c>
      <c r="D6" s="8">
        <v>0.20092433237260948</v>
      </c>
      <c r="E6" s="8">
        <f t="shared" si="1"/>
        <v>4.3261334756798525E-2</v>
      </c>
      <c r="F6" s="8">
        <v>-0.13509388511533099</v>
      </c>
      <c r="G6" s="8">
        <v>-8.5086293005398994E-2</v>
      </c>
      <c r="H6" s="8">
        <v>0.1974874953823535</v>
      </c>
      <c r="I6" s="8">
        <v>0.06</v>
      </c>
      <c r="J6" s="8">
        <v>-0.28656035380030698</v>
      </c>
      <c r="K6" s="8">
        <f t="shared" si="2"/>
        <v>-5.601343458744551E-2</v>
      </c>
      <c r="L6" s="2">
        <v>0.33892734465389301</v>
      </c>
      <c r="M6" s="8">
        <v>-2.8154982582383026E-2</v>
      </c>
      <c r="N6" s="8">
        <f t="shared" si="3"/>
        <v>0.36708232723627604</v>
      </c>
      <c r="O6" s="8">
        <v>0.313882330011445</v>
      </c>
      <c r="P6">
        <v>-0.24</v>
      </c>
      <c r="Q6" s="8">
        <f t="shared" si="4"/>
        <v>0.43681516367401607</v>
      </c>
      <c r="R6" s="1"/>
    </row>
    <row r="7" spans="1:18" x14ac:dyDescent="0.35">
      <c r="A7" t="s">
        <v>3</v>
      </c>
      <c r="B7" s="9">
        <f t="shared" si="0"/>
        <v>-0.17282166744327809</v>
      </c>
      <c r="C7" s="8">
        <v>-5.92180551102061E-2</v>
      </c>
      <c r="D7" s="8">
        <v>0.12541076800961129</v>
      </c>
      <c r="E7" s="8">
        <f t="shared" si="1"/>
        <v>-0.18462882311981738</v>
      </c>
      <c r="F7" s="8">
        <v>-0.11360361233307199</v>
      </c>
      <c r="G7" s="8">
        <v>-3.334058820844199E-2</v>
      </c>
      <c r="H7" s="8">
        <v>0.19341391849255174</v>
      </c>
      <c r="I7" s="8">
        <v>0.06</v>
      </c>
      <c r="J7" s="8">
        <v>-0.24007189639510096</v>
      </c>
      <c r="K7" s="8">
        <f t="shared" si="2"/>
        <v>-4.6682610305892769E-2</v>
      </c>
      <c r="L7" s="2">
        <v>4.0123616503083902E-2</v>
      </c>
      <c r="M7" s="8">
        <v>-2.6046165216257397E-2</v>
      </c>
      <c r="N7" s="8">
        <f t="shared" si="3"/>
        <v>6.6169781719341292E-2</v>
      </c>
      <c r="O7" s="8">
        <v>0.24883676109205699</v>
      </c>
      <c r="P7">
        <v>-0.14000000000000001</v>
      </c>
      <c r="Q7" s="8">
        <f t="shared" si="4"/>
        <v>-5.7201878056579197E-2</v>
      </c>
      <c r="R7" s="1"/>
    </row>
    <row r="8" spans="1:18" x14ac:dyDescent="0.35">
      <c r="A8" t="s">
        <v>4</v>
      </c>
      <c r="B8" s="9">
        <f t="shared" si="0"/>
        <v>-0.2270899799912959</v>
      </c>
      <c r="C8" s="8">
        <v>-7.3368861520992895E-2</v>
      </c>
      <c r="D8" s="8">
        <v>7.0029300104018699E-2</v>
      </c>
      <c r="E8" s="8">
        <f t="shared" si="1"/>
        <v>-0.14339816162501159</v>
      </c>
      <c r="F8" s="8">
        <v>-0.15372111847030301</v>
      </c>
      <c r="G8" s="8">
        <v>-1.0646021497666205E-2</v>
      </c>
      <c r="H8" s="8">
        <v>0.13390434460269141</v>
      </c>
      <c r="I8" s="5">
        <v>0.06</v>
      </c>
      <c r="J8" s="8">
        <v>-0.23614384094467999</v>
      </c>
      <c r="K8" s="8">
        <f t="shared" si="2"/>
        <v>3.15934748443224E-2</v>
      </c>
      <c r="L8" s="2">
        <v>9.21997515996648E-2</v>
      </c>
      <c r="M8" s="8">
        <v>-3.4076063758568295E-2</v>
      </c>
      <c r="N8" s="8">
        <f t="shared" si="3"/>
        <v>0.1262758153582331</v>
      </c>
      <c r="O8" s="8">
        <v>7.6554648901424605E-2</v>
      </c>
      <c r="P8">
        <v>-0.14000000000000001</v>
      </c>
      <c r="Q8" s="8">
        <f t="shared" si="4"/>
        <v>-0.20898160098787272</v>
      </c>
      <c r="R8" s="1"/>
    </row>
    <row r="9" spans="1:18" x14ac:dyDescent="0.35">
      <c r="A9" t="s">
        <v>6</v>
      </c>
      <c r="B9" s="9">
        <f t="shared" si="0"/>
        <v>-0.33323663532548498</v>
      </c>
      <c r="C9" s="8">
        <v>-0.19354294611066999</v>
      </c>
      <c r="D9" s="8">
        <v>-6.4345258995419929E-3</v>
      </c>
      <c r="E9" s="8">
        <f t="shared" si="1"/>
        <v>-0.187108420211128</v>
      </c>
      <c r="F9" s="8">
        <v>-0.13969368921481501</v>
      </c>
      <c r="G9" s="8">
        <v>2.9356528911625598E-2</v>
      </c>
      <c r="H9" s="8">
        <v>0.13098652121873838</v>
      </c>
      <c r="I9" s="8">
        <v>0.06</v>
      </c>
      <c r="J9" s="8">
        <v>-0.23639648698913851</v>
      </c>
      <c r="K9" s="8">
        <f t="shared" si="2"/>
        <v>7.476649468202573E-2</v>
      </c>
      <c r="L9" s="2">
        <v>9.1536206463046804E-2</v>
      </c>
      <c r="M9" s="8">
        <v>-8.1458626219619398E-2</v>
      </c>
      <c r="N9" s="8">
        <f t="shared" si="3"/>
        <v>0.17299483268266619</v>
      </c>
      <c r="O9" s="8">
        <v>-5.3219630374798398E-2</v>
      </c>
      <c r="P9">
        <v>-0.14000000000000001</v>
      </c>
      <c r="Q9" s="8">
        <f t="shared" si="4"/>
        <v>-0.40556353032561099</v>
      </c>
      <c r="R9" s="1"/>
    </row>
    <row r="10" spans="1:18" x14ac:dyDescent="0.35">
      <c r="A10" t="s">
        <v>29</v>
      </c>
      <c r="B10" s="8">
        <f t="shared" si="0"/>
        <v>-0.26678026028479096</v>
      </c>
      <c r="C10" s="8">
        <v>-0.10882876740007499</v>
      </c>
      <c r="D10" s="8">
        <v>-8.6757820870570004E-3</v>
      </c>
      <c r="E10" s="8">
        <f t="shared" si="1"/>
        <v>-0.100152985313018</v>
      </c>
      <c r="F10" s="8">
        <v>-0.15795149288471599</v>
      </c>
      <c r="G10" s="8">
        <v>-9.6033917035239003E-2</v>
      </c>
      <c r="H10" s="8">
        <v>0.16495006864960199</v>
      </c>
      <c r="I10" s="2">
        <v>0.06</v>
      </c>
      <c r="J10" s="8">
        <v>-0.23727437576866897</v>
      </c>
      <c r="K10" s="8">
        <f t="shared" si="2"/>
        <v>-8.3709609916172018E-2</v>
      </c>
      <c r="L10" s="2">
        <v>8.6384521497504696E-2</v>
      </c>
      <c r="M10" s="8">
        <v>-8.0731783603113089E-2</v>
      </c>
      <c r="N10" s="8">
        <f t="shared" si="3"/>
        <v>0.16711630510061778</v>
      </c>
      <c r="O10" s="8">
        <v>-0.20024746248282299</v>
      </c>
      <c r="P10">
        <v>-4.0000000000000008E-2</v>
      </c>
      <c r="Q10" s="8">
        <f t="shared" si="4"/>
        <v>-0.51667711830534824</v>
      </c>
      <c r="R10" s="1"/>
    </row>
    <row r="11" spans="1:18" x14ac:dyDescent="0.35">
      <c r="A11" t="s">
        <v>30</v>
      </c>
      <c r="B11" s="8">
        <f t="shared" si="0"/>
        <v>-0.301911722746186</v>
      </c>
      <c r="C11" s="8">
        <v>-0.15456652081357</v>
      </c>
      <c r="D11" s="8">
        <v>-8.4704580042369998E-3</v>
      </c>
      <c r="E11" s="8">
        <f t="shared" si="1"/>
        <v>-0.14609606280933302</v>
      </c>
      <c r="F11" s="8">
        <v>-0.14734520193261599</v>
      </c>
      <c r="G11" s="8">
        <v>8.7124283124377033E-2</v>
      </c>
      <c r="H11" s="8">
        <v>0.16015426160592303</v>
      </c>
      <c r="I11" s="5">
        <v>0.06</v>
      </c>
      <c r="J11" s="8">
        <v>-0.23458822247202096</v>
      </c>
      <c r="K11" s="8">
        <f t="shared" si="2"/>
        <v>0.10155824399047497</v>
      </c>
      <c r="L11" s="2">
        <v>8.2342218318941604E-2</v>
      </c>
      <c r="M11" s="8">
        <v>-7.8244959621875207E-2</v>
      </c>
      <c r="N11" s="8">
        <f t="shared" si="3"/>
        <v>0.16058717794081681</v>
      </c>
      <c r="O11" s="8">
        <v>-0.31115121931629902</v>
      </c>
      <c r="P11">
        <v>-4.0000000000000008E-2</v>
      </c>
      <c r="Q11" s="8">
        <f t="shared" si="4"/>
        <v>-0.4835964406191664</v>
      </c>
      <c r="R11" s="1"/>
    </row>
    <row r="12" spans="1:18" x14ac:dyDescent="0.3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0"/>
      <c r="Q12" s="8"/>
    </row>
    <row r="13" spans="1:18" x14ac:dyDescent="0.35">
      <c r="O13" s="2"/>
      <c r="P13" s="2"/>
    </row>
    <row r="14" spans="1:18" x14ac:dyDescent="0.35">
      <c r="E14" s="1"/>
      <c r="M14" s="1"/>
    </row>
    <row r="15" spans="1:18" x14ac:dyDescent="0.35">
      <c r="B15" s="9"/>
    </row>
  </sheetData>
  <mergeCells count="3">
    <mergeCell ref="D1:E1"/>
    <mergeCell ref="H1:K1"/>
    <mergeCell ref="M1:N1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8ADF-9437-4E67-8C8C-0B53C466E5BA}">
  <dimension ref="A1:Q10"/>
  <sheetViews>
    <sheetView workbookViewId="0">
      <selection activeCell="G9" sqref="G9"/>
    </sheetView>
  </sheetViews>
  <sheetFormatPr defaultRowHeight="14.5" x14ac:dyDescent="0.35"/>
  <cols>
    <col min="2" max="2" width="10.54296875" customWidth="1"/>
    <col min="4" max="4" width="11.54296875" customWidth="1"/>
    <col min="5" max="5" width="13.36328125" customWidth="1"/>
  </cols>
  <sheetData>
    <row r="1" spans="1:17" s="12" customFormat="1" ht="56" customHeight="1" x14ac:dyDescent="0.35">
      <c r="B1" s="11" t="s">
        <v>31</v>
      </c>
      <c r="C1" s="4" t="s">
        <v>37</v>
      </c>
      <c r="D1" s="4" t="s">
        <v>32</v>
      </c>
      <c r="E1" s="4" t="s">
        <v>35</v>
      </c>
      <c r="F1" s="12" t="s">
        <v>33</v>
      </c>
    </row>
    <row r="2" spans="1:17" x14ac:dyDescent="0.35">
      <c r="A2" t="s">
        <v>0</v>
      </c>
      <c r="B2" s="9">
        <f>Components!E3 + Components!F3+Components!K3+Components!N3</f>
        <v>-0.51612803080890202</v>
      </c>
      <c r="C2" s="8">
        <f>Components!D3+Components!H3+ Components!I3+Components!M3</f>
        <v>0</v>
      </c>
      <c r="D2" s="8">
        <f>Components!J3+Components!P3</f>
        <v>-0.3</v>
      </c>
      <c r="E2" s="8">
        <f>Components!O3</f>
        <v>0.187169199391747</v>
      </c>
      <c r="F2" s="8">
        <f>SUM(B2:E2)</f>
        <v>-0.62895883141715503</v>
      </c>
      <c r="G2" s="8"/>
      <c r="H2" s="8"/>
      <c r="I2" s="8"/>
      <c r="J2" s="8"/>
      <c r="K2" s="2"/>
      <c r="L2" s="8"/>
      <c r="M2" s="8"/>
      <c r="N2" s="8"/>
      <c r="P2" s="8"/>
      <c r="Q2" s="1"/>
    </row>
    <row r="3" spans="1:17" x14ac:dyDescent="0.35">
      <c r="A3" t="s">
        <v>1</v>
      </c>
      <c r="B3" s="9">
        <f>Components!E4 + Components!F4+Components!K4+Components!N4</f>
        <v>6.7344766576548865E-2</v>
      </c>
      <c r="C3" s="8">
        <f>Components!D4+Components!H4+ Components!I4+Components!M4</f>
        <v>0.61512511293969907</v>
      </c>
      <c r="D3" s="8">
        <f>Components!J4+Components!P4</f>
        <v>-0.71325065079057492</v>
      </c>
      <c r="E3" s="8">
        <f>Components!O4</f>
        <v>0.18199766032275999</v>
      </c>
      <c r="F3" s="8">
        <f t="shared" ref="F3:F10" si="0">SUM(B3:E3)</f>
        <v>0.151216889048433</v>
      </c>
      <c r="G3" s="8"/>
      <c r="H3" s="8"/>
      <c r="I3" s="8"/>
      <c r="J3" s="8"/>
      <c r="K3" s="2"/>
      <c r="L3" s="8"/>
      <c r="M3" s="8"/>
      <c r="N3" s="8"/>
      <c r="P3" s="8"/>
      <c r="Q3" s="1"/>
    </row>
    <row r="4" spans="1:17" x14ac:dyDescent="0.35">
      <c r="A4" t="s">
        <v>5</v>
      </c>
      <c r="B4" s="9">
        <f>Components!E5 + Components!F5+Components!K5+Components!N5</f>
        <v>0.24273432770416364</v>
      </c>
      <c r="C4" s="8">
        <f>Components!D5+Components!H5+ Components!I5+Components!M5</f>
        <v>0.35362677718544561</v>
      </c>
      <c r="D4" s="8">
        <f>Components!J5+Components!P5</f>
        <v>-0.79701579830466796</v>
      </c>
      <c r="E4" s="8">
        <f>Components!O5</f>
        <v>7.1097532169157304E-2</v>
      </c>
      <c r="F4" s="8">
        <f t="shared" si="0"/>
        <v>-0.12955716124590139</v>
      </c>
      <c r="H4" s="8"/>
      <c r="I4" s="8"/>
      <c r="J4" s="8"/>
      <c r="K4" s="2"/>
      <c r="L4" s="8"/>
      <c r="M4" s="8"/>
      <c r="N4" s="8"/>
      <c r="P4" s="8"/>
      <c r="Q4" s="1"/>
    </row>
    <row r="5" spans="1:17" x14ac:dyDescent="0.35">
      <c r="A5" t="s">
        <v>2</v>
      </c>
      <c r="B5" s="9">
        <f>Components!E6 + Components!F6+Components!K6+Components!N6</f>
        <v>0.21923634229029806</v>
      </c>
      <c r="C5" s="8">
        <f>Components!D6+Components!H6+ Components!I6+Components!M6</f>
        <v>0.43025684517257995</v>
      </c>
      <c r="D5" s="8">
        <f>Components!J6+Components!P6</f>
        <v>-0.52656035380030697</v>
      </c>
      <c r="E5" s="8">
        <f>Components!O6</f>
        <v>0.313882330011445</v>
      </c>
      <c r="F5" s="8">
        <f t="shared" si="0"/>
        <v>0.43681516367401602</v>
      </c>
      <c r="G5" s="8"/>
      <c r="H5" s="8"/>
      <c r="I5" s="8"/>
      <c r="J5" s="8"/>
      <c r="K5" s="2"/>
      <c r="L5" s="8"/>
      <c r="M5" s="8"/>
      <c r="N5" s="8"/>
      <c r="P5" s="8"/>
      <c r="Q5" s="1"/>
    </row>
    <row r="6" spans="1:17" x14ac:dyDescent="0.35">
      <c r="A6" t="s">
        <v>3</v>
      </c>
      <c r="B6" s="9">
        <f>Components!E7 + Components!F7+Components!K7+Components!N7</f>
        <v>-0.27874526403944083</v>
      </c>
      <c r="C6" s="8">
        <f>Components!D7+Components!H7+ Components!I7+Components!M7</f>
        <v>0.35277852128590559</v>
      </c>
      <c r="D6" s="8">
        <f>Components!J7+Components!P7</f>
        <v>-0.38007189639510097</v>
      </c>
      <c r="E6" s="8">
        <f>Components!O7</f>
        <v>0.24883676109205699</v>
      </c>
      <c r="F6" s="8">
        <f t="shared" si="0"/>
        <v>-5.7201878056579225E-2</v>
      </c>
      <c r="G6" s="8"/>
      <c r="H6" s="8"/>
      <c r="I6" s="8"/>
      <c r="J6" s="8"/>
      <c r="K6" s="2"/>
      <c r="L6" s="8"/>
      <c r="M6" s="8"/>
      <c r="N6" s="8"/>
      <c r="P6" s="8"/>
      <c r="Q6" s="1"/>
    </row>
    <row r="7" spans="1:17" x14ac:dyDescent="0.35">
      <c r="A7" t="s">
        <v>4</v>
      </c>
      <c r="B7" s="9">
        <f>Components!E8 + Components!F8+Components!K8+Components!N8</f>
        <v>-0.13924998989275914</v>
      </c>
      <c r="C7" s="8">
        <f>Components!D8+Components!H8+ Components!I8+Components!M8</f>
        <v>0.22985758094814179</v>
      </c>
      <c r="D7" s="8">
        <f>Components!J8+Components!P8</f>
        <v>-0.37614384094468001</v>
      </c>
      <c r="E7" s="8">
        <f>Components!O8</f>
        <v>7.6554648901424605E-2</v>
      </c>
      <c r="F7" s="8">
        <f t="shared" si="0"/>
        <v>-0.20898160098787277</v>
      </c>
      <c r="G7" s="8"/>
      <c r="H7" s="8"/>
      <c r="I7" s="8"/>
      <c r="J7" s="8"/>
      <c r="K7" s="2"/>
      <c r="L7" s="8"/>
      <c r="M7" s="8"/>
      <c r="N7" s="8"/>
      <c r="P7" s="8"/>
      <c r="Q7" s="1"/>
    </row>
    <row r="8" spans="1:17" x14ac:dyDescent="0.35">
      <c r="A8" t="s">
        <v>6</v>
      </c>
      <c r="B8" s="9">
        <f>Components!E9 + Components!F9+Components!K9+Components!N9</f>
        <v>-7.9040782061251091E-2</v>
      </c>
      <c r="C8" s="8">
        <f>Components!D9+Components!H9+ Components!I9+Components!M9</f>
        <v>0.10309336909957699</v>
      </c>
      <c r="D8" s="8">
        <f>Components!J9+Components!P9</f>
        <v>-0.37639648698913852</v>
      </c>
      <c r="E8" s="8">
        <f>Components!O9</f>
        <v>-5.3219630374798398E-2</v>
      </c>
      <c r="F8" s="8">
        <f t="shared" si="0"/>
        <v>-0.40556353032561099</v>
      </c>
      <c r="G8" s="8"/>
      <c r="H8" s="8"/>
      <c r="I8" s="8"/>
      <c r="J8" s="8"/>
      <c r="K8" s="2"/>
      <c r="L8" s="8"/>
      <c r="M8" s="8"/>
      <c r="N8" s="8"/>
      <c r="P8" s="8"/>
      <c r="Q8" s="1"/>
    </row>
    <row r="9" spans="1:17" x14ac:dyDescent="0.35">
      <c r="A9" t="s">
        <v>29</v>
      </c>
      <c r="B9" s="9">
        <f>Components!E10 + Components!F10+Components!K10+Components!N10</f>
        <v>-0.17469778301328823</v>
      </c>
      <c r="C9" s="8">
        <f>Components!D10+Components!H10+ Components!I10+Components!M10</f>
        <v>0.1355425029594319</v>
      </c>
      <c r="D9" s="8">
        <f>Components!J10+Components!P10</f>
        <v>-0.27727437576866898</v>
      </c>
      <c r="E9" s="8">
        <f>Components!O10</f>
        <v>-0.20024746248282299</v>
      </c>
      <c r="F9" s="8">
        <f t="shared" si="0"/>
        <v>-0.51667711830534824</v>
      </c>
      <c r="G9" s="8"/>
      <c r="H9" s="8"/>
      <c r="I9" s="8"/>
      <c r="J9" s="8"/>
      <c r="K9" s="2"/>
      <c r="L9" s="8"/>
      <c r="M9" s="8"/>
      <c r="N9" s="8"/>
      <c r="P9" s="8"/>
      <c r="Q9" s="1"/>
    </row>
    <row r="10" spans="1:17" x14ac:dyDescent="0.35">
      <c r="A10" t="s">
        <v>30</v>
      </c>
      <c r="B10" s="9">
        <f>Components!E11 + Components!F11+Components!K11+Components!N11</f>
        <v>-3.1295842810657198E-2</v>
      </c>
      <c r="C10" s="8">
        <f>Components!D11+Components!H11+ Components!I11+Components!M11</f>
        <v>0.13343884397981082</v>
      </c>
      <c r="D10" s="8">
        <f>Components!J11+Components!P11</f>
        <v>-0.27458822247202097</v>
      </c>
      <c r="E10" s="8">
        <f>Components!O11</f>
        <v>-0.31115121931629902</v>
      </c>
      <c r="F10" s="8">
        <f t="shared" si="0"/>
        <v>-0.4835964406191664</v>
      </c>
      <c r="G10" s="8"/>
      <c r="H10" s="8"/>
      <c r="I10" s="8"/>
      <c r="J10" s="8"/>
      <c r="K10" s="2"/>
      <c r="L10" s="8"/>
      <c r="M10" s="8"/>
      <c r="N10" s="8"/>
      <c r="P10" s="8"/>
      <c r="Q1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</vt:lpstr>
      <vt:lpstr>OBBBA, Tariffs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Ahmad</dc:creator>
  <cp:lastModifiedBy>Sarah Ahmad</cp:lastModifiedBy>
  <dcterms:created xsi:type="dcterms:W3CDTF">2025-10-02T18:07:32Z</dcterms:created>
  <dcterms:modified xsi:type="dcterms:W3CDTF">2025-10-28T14:25:36Z</dcterms:modified>
</cp:coreProperties>
</file>