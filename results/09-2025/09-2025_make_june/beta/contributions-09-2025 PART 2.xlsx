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SAhmad\Downloads\FIM\results\09-2025\beta\"/>
    </mc:Choice>
  </mc:AlternateContent>
  <xr:revisionPtr revIDLastSave="0" documentId="13_ncr:1_{19A039A7-A5A5-4F99-BE0C-E11534218B33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back from june" sheetId="1" r:id="rId1"/>
    <sheet name="published" sheetId="2" r:id="rId2"/>
    <sheet name="chase" sheetId="4" r:id="rId3"/>
    <sheet name="published-chase" sheetId="5" r:id="rId4"/>
    <sheet name="diff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5" l="1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2" i="5"/>
  <c r="B2" i="3"/>
  <c r="B3" i="3"/>
  <c r="C3" i="3"/>
  <c r="D3" i="3"/>
  <c r="E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Z3" i="3"/>
  <c r="B4" i="3"/>
  <c r="C4" i="3"/>
  <c r="D4" i="3"/>
  <c r="E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Z4" i="3"/>
  <c r="B5" i="3"/>
  <c r="C5" i="3"/>
  <c r="D5" i="3"/>
  <c r="E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Z5" i="3"/>
  <c r="B6" i="3"/>
  <c r="C6" i="3"/>
  <c r="D6" i="3"/>
  <c r="E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Z6" i="3"/>
  <c r="B7" i="3"/>
  <c r="C7" i="3"/>
  <c r="D7" i="3"/>
  <c r="E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Z7" i="3"/>
  <c r="B8" i="3"/>
  <c r="C8" i="3"/>
  <c r="D8" i="3"/>
  <c r="E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Z8" i="3"/>
  <c r="B9" i="3"/>
  <c r="C9" i="3"/>
  <c r="D9" i="3"/>
  <c r="E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Z9" i="3"/>
  <c r="AC12" i="3"/>
  <c r="B10" i="3"/>
  <c r="C10" i="3"/>
  <c r="D10" i="3"/>
  <c r="E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Z10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C2" i="3"/>
  <c r="D2" i="3"/>
  <c r="E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Z2" i="3"/>
  <c r="AC16" i="3" l="1"/>
</calcChain>
</file>

<file path=xl/sharedStrings.xml><?xml version="1.0" encoding="utf-8"?>
<sst xmlns="http://schemas.openxmlformats.org/spreadsheetml/2006/main" count="306" uniqueCount="51">
  <si>
    <t>date</t>
  </si>
  <si>
    <t>id</t>
  </si>
  <si>
    <t>recession</t>
  </si>
  <si>
    <t>federal_purchases_contribution</t>
  </si>
  <si>
    <t>state_purchases_contribution</t>
  </si>
  <si>
    <t>federal_non_corporate_taxes_contribution</t>
  </si>
  <si>
    <t>state_non_corporate_taxes_contribution</t>
  </si>
  <si>
    <t>federal_corporate_taxes_contribution</t>
  </si>
  <si>
    <t>supply_side_ira_contribution</t>
  </si>
  <si>
    <t>state_corporate_taxes_contribution</t>
  </si>
  <si>
    <t>federal_social_benefits_contribution</t>
  </si>
  <si>
    <t>state_social_benefits_contribution</t>
  </si>
  <si>
    <t>rebate_checks_contribution</t>
  </si>
  <si>
    <t>rebate_checks_arp_contribution</t>
  </si>
  <si>
    <t>federal_ui_contribution</t>
  </si>
  <si>
    <t>state_ui_contribution</t>
  </si>
  <si>
    <t>federal_subsidies_contribution</t>
  </si>
  <si>
    <t>federal_aid_to_small_businesses_arp_contribution</t>
  </si>
  <si>
    <t>federal_other_direct_aid_arp_contribution</t>
  </si>
  <si>
    <t>federal_other_vulnerable_arp_contribution</t>
  </si>
  <si>
    <t>federal_student_loans_contribution</t>
  </si>
  <si>
    <t>state_subsidies_contribution</t>
  </si>
  <si>
    <t>federal_health_outlays_contribution</t>
  </si>
  <si>
    <t>state_health_outlays_contribution</t>
  </si>
  <si>
    <t>federal_contribution</t>
  </si>
  <si>
    <t>state_contribution</t>
  </si>
  <si>
    <t>taxes_contribution</t>
  </si>
  <si>
    <t>transfers_contribution</t>
  </si>
  <si>
    <t>consumption_contribution</t>
  </si>
  <si>
    <t>fiscal_impact_measure</t>
  </si>
  <si>
    <t>fiscal_impact_4q_ma</t>
  </si>
  <si>
    <t>2023 Q2</t>
  </si>
  <si>
    <t>historical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</si>
  <si>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</si>
  <si>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</si>
  <si>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</si>
  <si>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</si>
  <si>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</si>
  <si>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</si>
  <si>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</si>
  <si>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</si>
  <si>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</si>
  <si>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projection</t>
  </si>
  <si>
    <t>2025 Q4</t>
  </si>
  <si>
    <t>2026 Q1</t>
  </si>
  <si>
    <t>2026 Q2</t>
  </si>
  <si>
    <t>2026 Q3</t>
  </si>
  <si>
    <t>2026 Q4</t>
  </si>
  <si>
    <t>2027 Q1</t>
  </si>
  <si>
    <t>2027 Q2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</si>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</sst>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2" fontId="0" fillId="0" borderId="0" xfId="0" applyNumberFormat="1"/>
    <xf numFmtId="0" fontId="0" fillId="2" borderId="0" xfId="0" applyFill="1" applyAlignment="1">
      <alignment wrapText="1"/>
    </xf>
    <xf numFmtId="2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"/>
  <sheetViews>
    <sheetView workbookViewId="0">
      <selection activeCell="D2" sqref="D2:AE18"/>
    </sheetView>
  </sheetViews>
  <sheetFormatPr defaultColWidth="10.90625" defaultRowHeight="14.5" x14ac:dyDescent="0.35"/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 t="s">
        <v>31</v>
      </c>
      <c r="B2" t="s">
        <v>32</v>
      </c>
      <c r="C2">
        <v>-1</v>
      </c>
      <c r="D2">
        <v>-0.14802611157274501</v>
      </c>
      <c r="E2">
        <v>0.32935983920596001</v>
      </c>
      <c r="F2">
        <v>0.40168306970290102</v>
      </c>
      <c r="G2">
        <v>0.18603734505634201</v>
      </c>
      <c r="H2">
        <v>-8.21940867312759E-2</v>
      </c>
      <c r="I2">
        <v>0.235358292343292</v>
      </c>
      <c r="J2">
        <v>-4.1113771969934799E-2</v>
      </c>
      <c r="K2">
        <v>-0.110305489658881</v>
      </c>
      <c r="L2">
        <v>-3.9292216707090502E-2</v>
      </c>
      <c r="M2">
        <v>-0.250812072873001</v>
      </c>
      <c r="N2">
        <v>-0.42408041297215698</v>
      </c>
      <c r="O2">
        <v>-0.28390642327914301</v>
      </c>
      <c r="P2">
        <v>2.09480010861266E-2</v>
      </c>
      <c r="Q2">
        <v>-0.36373095377918202</v>
      </c>
      <c r="R2">
        <v>5.0505984440364898E-4</v>
      </c>
      <c r="S2">
        <v>-4.1864783224422601E-2</v>
      </c>
      <c r="T2">
        <v>-9.6126641659024806E-2</v>
      </c>
      <c r="U2">
        <v>-8.0992848567109695E-3</v>
      </c>
      <c r="V2">
        <v>-8.9153330195928897E-4</v>
      </c>
      <c r="W2">
        <v>0.171036490137769</v>
      </c>
      <c r="X2">
        <v>0.10677013991119801</v>
      </c>
      <c r="Y2">
        <v>-0.23313551122967099</v>
      </c>
      <c r="Z2">
        <v>0.414469238862886</v>
      </c>
      <c r="AA2">
        <v>0.69855452970050502</v>
      </c>
      <c r="AB2">
        <v>-1.32629278524743</v>
      </c>
      <c r="AC2">
        <v>-0.61796280604048204</v>
      </c>
      <c r="AD2">
        <v>-0.436629078407267</v>
      </c>
      <c r="AE2">
        <v>-0.83627524630429895</v>
      </c>
    </row>
    <row r="3" spans="1:31" x14ac:dyDescent="0.35">
      <c r="A3" t="s">
        <v>33</v>
      </c>
      <c r="B3" t="s">
        <v>32</v>
      </c>
      <c r="C3">
        <v>-1</v>
      </c>
      <c r="D3">
        <v>0.29138772747964098</v>
      </c>
      <c r="E3">
        <v>0.20751042016384599</v>
      </c>
      <c r="F3">
        <v>0.113357457258702</v>
      </c>
      <c r="G3">
        <v>9.7716048972668196E-2</v>
      </c>
      <c r="H3">
        <v>-5.91532101359378E-2</v>
      </c>
      <c r="I3">
        <v>0.23102780499548001</v>
      </c>
      <c r="J3">
        <v>-3.3405652214011802E-2</v>
      </c>
      <c r="K3">
        <v>-3.5337896134434499E-2</v>
      </c>
      <c r="L3">
        <v>-9.7526156234725395E-2</v>
      </c>
      <c r="M3">
        <v>-3.3451247097991299E-2</v>
      </c>
      <c r="N3">
        <v>-7.7388778211201796E-3</v>
      </c>
      <c r="O3">
        <v>-0.13051736587268001</v>
      </c>
      <c r="P3">
        <v>4.4718452819064197E-2</v>
      </c>
      <c r="Q3">
        <v>-0.37795184928776498</v>
      </c>
      <c r="R3">
        <v>5.950273560484E-4</v>
      </c>
      <c r="S3">
        <v>-2.6783451026086001E-2</v>
      </c>
      <c r="T3">
        <v>-9.6213710590928994E-2</v>
      </c>
      <c r="U3">
        <v>-0.13797271237506301</v>
      </c>
      <c r="V3">
        <v>-6.5844159084846603E-5</v>
      </c>
      <c r="W3">
        <v>-8.0930364752975201E-2</v>
      </c>
      <c r="X3">
        <v>0.246367721831767</v>
      </c>
      <c r="Y3">
        <v>-0.13834317705567301</v>
      </c>
      <c r="Z3">
        <v>0.63724132469915995</v>
      </c>
      <c r="AA3">
        <v>0.34932404438449699</v>
      </c>
      <c r="AB3">
        <v>-0.73419659789214797</v>
      </c>
      <c r="AC3">
        <v>-0.38219863522876701</v>
      </c>
      <c r="AD3">
        <v>0.116699512414719</v>
      </c>
      <c r="AE3">
        <v>-0.206163355339544</v>
      </c>
    </row>
    <row r="4" spans="1:31" x14ac:dyDescent="0.35">
      <c r="A4" t="s">
        <v>34</v>
      </c>
      <c r="B4" t="s">
        <v>32</v>
      </c>
      <c r="C4">
        <v>-1</v>
      </c>
      <c r="D4">
        <v>7.0409518749265695E-2</v>
      </c>
      <c r="E4">
        <v>0.334563146011224</v>
      </c>
      <c r="F4">
        <v>8.4390722113830099E-2</v>
      </c>
      <c r="G4">
        <v>5.2044238372703902E-2</v>
      </c>
      <c r="H4">
        <v>-7.1699905905479602E-2</v>
      </c>
      <c r="I4">
        <v>8.2750407381655997E-2</v>
      </c>
      <c r="J4">
        <v>-3.7624014205788599E-2</v>
      </c>
      <c r="K4">
        <v>-0.20119765322797301</v>
      </c>
      <c r="L4">
        <v>-0.25248892574124898</v>
      </c>
      <c r="M4">
        <v>0</v>
      </c>
      <c r="N4">
        <v>-6.2254865808341201E-3</v>
      </c>
      <c r="O4">
        <v>-7.4273918697488001E-3</v>
      </c>
      <c r="P4">
        <v>2.51765765432529E-2</v>
      </c>
      <c r="Q4">
        <v>-0.16467395034127</v>
      </c>
      <c r="R4">
        <v>-5.7101380587429003E-3</v>
      </c>
      <c r="S4">
        <v>-2.6574551007999901E-2</v>
      </c>
      <c r="T4">
        <v>-9.6631639124960103E-2</v>
      </c>
      <c r="U4">
        <v>-0.112668281418978</v>
      </c>
      <c r="V4">
        <v>-4.64375413991062E-5</v>
      </c>
      <c r="W4">
        <v>5.7480661108821697E-2</v>
      </c>
      <c r="X4">
        <v>7.3497892891865396E-2</v>
      </c>
      <c r="Y4">
        <v>0.28189703895139501</v>
      </c>
      <c r="Z4">
        <v>0.12307562580909499</v>
      </c>
      <c r="AA4">
        <v>0.109920446431576</v>
      </c>
      <c r="AB4">
        <v>-0.71934747789901798</v>
      </c>
      <c r="AC4">
        <v>-0.60859101476916899</v>
      </c>
      <c r="AD4">
        <v>-0.20361835000867901</v>
      </c>
      <c r="AE4">
        <v>-0.15496258918560801</v>
      </c>
    </row>
    <row r="5" spans="1:31" x14ac:dyDescent="0.35">
      <c r="A5" t="s">
        <v>35</v>
      </c>
      <c r="B5" t="s">
        <v>32</v>
      </c>
      <c r="C5">
        <v>-1</v>
      </c>
      <c r="D5">
        <v>-9.5656904722252106E-2</v>
      </c>
      <c r="E5">
        <v>9.6940855523302893E-2</v>
      </c>
      <c r="F5">
        <v>0.49002857232950098</v>
      </c>
      <c r="G5">
        <v>0.208391135077172</v>
      </c>
      <c r="H5">
        <v>-6.0391933673744902E-2</v>
      </c>
      <c r="I5">
        <v>0.127323007835629</v>
      </c>
      <c r="J5">
        <v>-3.1435768777114702E-2</v>
      </c>
      <c r="K5">
        <v>-1.5431334318346699E-2</v>
      </c>
      <c r="L5">
        <v>-2.4236114768831401E-2</v>
      </c>
      <c r="M5">
        <v>0</v>
      </c>
      <c r="N5">
        <v>-0.1116771169521</v>
      </c>
      <c r="O5">
        <v>-1.4130478598766601E-3</v>
      </c>
      <c r="P5">
        <v>1.48527177757743E-2</v>
      </c>
      <c r="Q5">
        <v>-0.147876796119602</v>
      </c>
      <c r="R5">
        <v>-6.5334557705919397E-3</v>
      </c>
      <c r="S5">
        <v>-3.7491897544000202E-2</v>
      </c>
      <c r="T5">
        <v>-6.3307767234083601E-2</v>
      </c>
      <c r="U5">
        <v>-0.104470891080262</v>
      </c>
      <c r="V5">
        <v>-5.8359649790091399E-4</v>
      </c>
      <c r="W5">
        <v>-0.139181652755761</v>
      </c>
      <c r="X5">
        <v>0.13055531739648699</v>
      </c>
      <c r="Y5">
        <v>-0.141987561627687</v>
      </c>
      <c r="Z5">
        <v>0.14327151242873801</v>
      </c>
      <c r="AA5">
        <v>0.73267847772514905</v>
      </c>
      <c r="AB5">
        <v>-0.50768403721561195</v>
      </c>
      <c r="AC5">
        <v>0.228917102365608</v>
      </c>
      <c r="AD5">
        <v>0.23020105316665901</v>
      </c>
      <c r="AE5">
        <v>-7.33367157086416E-2</v>
      </c>
    </row>
    <row r="6" spans="1:31" x14ac:dyDescent="0.35">
      <c r="A6" t="s">
        <v>36</v>
      </c>
      <c r="B6" t="s">
        <v>32</v>
      </c>
      <c r="C6">
        <v>-1</v>
      </c>
      <c r="D6">
        <v>0.12347864355657601</v>
      </c>
      <c r="E6">
        <v>5.1398582782936103E-2</v>
      </c>
      <c r="F6">
        <v>0.350634639232693</v>
      </c>
      <c r="G6">
        <v>0.18132833289649899</v>
      </c>
      <c r="H6">
        <v>-4.6919376760871503E-2</v>
      </c>
      <c r="I6">
        <v>9.4528726965219897E-2</v>
      </c>
      <c r="J6">
        <v>-2.2967963618569998E-2</v>
      </c>
      <c r="K6">
        <v>0.17944505351008599</v>
      </c>
      <c r="L6">
        <v>2.0341748838583099E-2</v>
      </c>
      <c r="M6">
        <v>0</v>
      </c>
      <c r="N6">
        <v>-0.104667995470671</v>
      </c>
      <c r="O6">
        <v>-6.71988407316382E-4</v>
      </c>
      <c r="P6">
        <v>1.2605510376570201E-2</v>
      </c>
      <c r="Q6">
        <v>-0.34619775619210402</v>
      </c>
      <c r="R6">
        <v>-1.6772231715069301E-2</v>
      </c>
      <c r="S6">
        <v>-3.5908570943400497E-2</v>
      </c>
      <c r="T6">
        <v>-5.0238210637218797E-2</v>
      </c>
      <c r="U6">
        <v>-9.6103418388998496E-2</v>
      </c>
      <c r="V6">
        <v>-2.1619606193804901E-3</v>
      </c>
      <c r="W6">
        <v>-0.10798661114378599</v>
      </c>
      <c r="X6">
        <v>0.112651604454477</v>
      </c>
      <c r="Y6">
        <v>0.19183196160476301</v>
      </c>
      <c r="Z6">
        <v>-1.6954735265250501E-2</v>
      </c>
      <c r="AA6">
        <v>0.55586415360289798</v>
      </c>
      <c r="AB6">
        <v>-0.435603111701512</v>
      </c>
      <c r="AC6">
        <v>0.122777318364768</v>
      </c>
      <c r="AD6">
        <v>0.29765454470427999</v>
      </c>
      <c r="AE6">
        <v>0.11023419006924499</v>
      </c>
    </row>
    <row r="7" spans="1:31" x14ac:dyDescent="0.35">
      <c r="A7" t="s">
        <v>37</v>
      </c>
      <c r="B7" t="s">
        <v>32</v>
      </c>
      <c r="C7">
        <v>-1</v>
      </c>
      <c r="D7">
        <v>0.40650570357638799</v>
      </c>
      <c r="E7">
        <v>0.136691698568599</v>
      </c>
      <c r="F7">
        <v>0.26769889286291498</v>
      </c>
      <c r="G7">
        <v>2.1497719565335398E-2</v>
      </c>
      <c r="H7">
        <v>-4.3703023830997202E-2</v>
      </c>
      <c r="I7">
        <v>-9.5365599689748198E-2</v>
      </c>
      <c r="J7">
        <v>-1.250579938059E-2</v>
      </c>
      <c r="K7">
        <v>0.262851861848517</v>
      </c>
      <c r="L7">
        <v>4.9653197595397103E-2</v>
      </c>
      <c r="M7">
        <v>0</v>
      </c>
      <c r="N7">
        <v>-0.100405578542052</v>
      </c>
      <c r="O7">
        <v>-3.3408506757194801E-4</v>
      </c>
      <c r="P7">
        <v>1.04559636480671E-2</v>
      </c>
      <c r="Q7">
        <v>-0.30976776467698602</v>
      </c>
      <c r="R7">
        <v>-6.6690089586276202E-2</v>
      </c>
      <c r="S7">
        <v>-3.4038325524147602E-2</v>
      </c>
      <c r="T7">
        <v>-4.3936535393618102E-2</v>
      </c>
      <c r="U7">
        <v>-5.5729672642463098E-2</v>
      </c>
      <c r="V7">
        <v>-4.4268524616808E-5</v>
      </c>
      <c r="W7">
        <v>0.20674711777249699</v>
      </c>
      <c r="X7">
        <v>4.4619556639790899E-2</v>
      </c>
      <c r="Y7">
        <v>0.63577579400065898</v>
      </c>
      <c r="Z7">
        <v>-9.2578391855672001E-2</v>
      </c>
      <c r="AA7">
        <v>0.13795910196057001</v>
      </c>
      <c r="AB7">
        <v>-3.5405604657315098E-2</v>
      </c>
      <c r="AC7">
        <v>0.102604629247405</v>
      </c>
      <c r="AD7">
        <v>0.64580203139239201</v>
      </c>
      <c r="AE7">
        <v>0.24250981981366301</v>
      </c>
    </row>
    <row r="8" spans="1:31" x14ac:dyDescent="0.35">
      <c r="A8" t="s">
        <v>38</v>
      </c>
      <c r="B8" t="s">
        <v>32</v>
      </c>
      <c r="C8">
        <v>-1</v>
      </c>
      <c r="D8">
        <v>0.133873781721287</v>
      </c>
      <c r="E8">
        <v>4.0840032414223203E-2</v>
      </c>
      <c r="F8">
        <v>0.26578106401662999</v>
      </c>
      <c r="G8">
        <v>2.9094858618363102E-2</v>
      </c>
      <c r="H8">
        <v>-3.4339266354473298E-2</v>
      </c>
      <c r="I8">
        <v>-0.133729009875071</v>
      </c>
      <c r="J8">
        <v>1.13690102002034E-2</v>
      </c>
      <c r="K8">
        <v>0.27225397073088298</v>
      </c>
      <c r="L8">
        <v>1.6960520897413001E-2</v>
      </c>
      <c r="M8">
        <v>0</v>
      </c>
      <c r="N8">
        <v>-0.10036426676492601</v>
      </c>
      <c r="O8">
        <v>-1.7257240165849299E-4</v>
      </c>
      <c r="P8">
        <v>5.7762572067887397E-3</v>
      </c>
      <c r="Q8">
        <v>-0.15458604468813</v>
      </c>
      <c r="R8">
        <v>-2.9046972423239802E-2</v>
      </c>
      <c r="S8">
        <v>-2.2294995129037001E-2</v>
      </c>
      <c r="T8">
        <v>-2.6522516209101999E-2</v>
      </c>
      <c r="U8">
        <v>-3.0672088360098701E-2</v>
      </c>
      <c r="V8">
        <v>-5.5553434027490802E-5</v>
      </c>
      <c r="W8">
        <v>0.14998115565769099</v>
      </c>
      <c r="X8">
        <v>0.15091666254341701</v>
      </c>
      <c r="Y8">
        <v>0.152548376323595</v>
      </c>
      <c r="Z8">
        <v>2.2165437811915399E-2</v>
      </c>
      <c r="AA8">
        <v>0.13854798222895001</v>
      </c>
      <c r="AB8">
        <v>0.23270567166299999</v>
      </c>
      <c r="AC8">
        <v>0.37091899841143999</v>
      </c>
      <c r="AD8">
        <v>0.54563281254694995</v>
      </c>
      <c r="AE8">
        <v>0.42982261045257097</v>
      </c>
    </row>
    <row r="9" spans="1:31" x14ac:dyDescent="0.35">
      <c r="A9" t="s">
        <v>39</v>
      </c>
      <c r="B9" t="s">
        <v>32</v>
      </c>
      <c r="C9">
        <v>-1</v>
      </c>
      <c r="D9">
        <v>-0.51945344220673595</v>
      </c>
      <c r="E9">
        <v>-3.6329068795956501E-2</v>
      </c>
      <c r="F9">
        <v>-6.8923507981179702E-2</v>
      </c>
      <c r="G9">
        <v>4.5824279035484701E-2</v>
      </c>
      <c r="H9">
        <v>-4.2648201337320401E-3</v>
      </c>
      <c r="I9">
        <v>2.4851299983382799E-2</v>
      </c>
      <c r="J9">
        <v>1.3575618265951101E-2</v>
      </c>
      <c r="K9">
        <v>0.18178302235421301</v>
      </c>
      <c r="L9">
        <v>-8.9342834717323107E-3</v>
      </c>
      <c r="M9">
        <v>0</v>
      </c>
      <c r="N9">
        <v>-9.6865948504741201E-2</v>
      </c>
      <c r="O9">
        <v>0</v>
      </c>
      <c r="P9">
        <v>4.4613387682665602E-4</v>
      </c>
      <c r="Q9">
        <v>-7.3745275639246904E-2</v>
      </c>
      <c r="R9">
        <v>-2.81145842287071E-2</v>
      </c>
      <c r="S9">
        <v>-1.4963859323346399E-2</v>
      </c>
      <c r="T9">
        <v>-1.06082419539028E-2</v>
      </c>
      <c r="U9">
        <v>-3.0099482833375799E-2</v>
      </c>
      <c r="V9">
        <v>-3.0217362087457E-4</v>
      </c>
      <c r="W9">
        <v>0.103999770504797</v>
      </c>
      <c r="X9">
        <v>2.61260701306016E-3</v>
      </c>
      <c r="Y9">
        <v>-1.16995132804385</v>
      </c>
      <c r="Z9">
        <v>0.614168817041161</v>
      </c>
      <c r="AA9">
        <v>1.11027166496448E-2</v>
      </c>
      <c r="AB9">
        <v>2.5525593403408701E-2</v>
      </c>
      <c r="AC9">
        <v>3.6625316518402701E-2</v>
      </c>
      <c r="AD9">
        <v>-0.51915719448428999</v>
      </c>
      <c r="AE9">
        <v>0.24248304853983299</v>
      </c>
    </row>
    <row r="10" spans="1:31" x14ac:dyDescent="0.35">
      <c r="A10" t="s">
        <v>40</v>
      </c>
      <c r="B10" t="s">
        <v>32</v>
      </c>
      <c r="C10">
        <v>-1</v>
      </c>
      <c r="D10">
        <v>-0.49659070787292697</v>
      </c>
      <c r="E10">
        <v>9.0506589373416602E-2</v>
      </c>
      <c r="F10">
        <v>-0.49360351627841198</v>
      </c>
      <c r="G10">
        <v>-3.9331912203167403E-2</v>
      </c>
      <c r="H10">
        <v>7.0579943690931299E-3</v>
      </c>
      <c r="I10">
        <v>0.187169199391747</v>
      </c>
      <c r="J10">
        <v>1.9233387701995601E-3</v>
      </c>
      <c r="K10">
        <v>0.46724310870124203</v>
      </c>
      <c r="L10">
        <v>-1.45027864177198E-2</v>
      </c>
      <c r="M10">
        <v>0</v>
      </c>
      <c r="N10">
        <v>-9.4949894815243602E-2</v>
      </c>
      <c r="O10">
        <v>0</v>
      </c>
      <c r="P10">
        <v>1.8247773810152401E-3</v>
      </c>
      <c r="Q10">
        <v>-9.49991988352311E-2</v>
      </c>
      <c r="R10">
        <v>-2.6737310243037899E-2</v>
      </c>
      <c r="S10">
        <v>-1.3483429468480799E-2</v>
      </c>
      <c r="T10">
        <v>-1.00208283497742E-2</v>
      </c>
      <c r="U10">
        <v>-2.3738219379538301E-2</v>
      </c>
      <c r="V10">
        <v>-1.03804464936561E-3</v>
      </c>
      <c r="W10">
        <v>0.285016460293538</v>
      </c>
      <c r="X10">
        <v>-2.99527412765348E-2</v>
      </c>
      <c r="Y10">
        <v>-0.94596316734547603</v>
      </c>
      <c r="Z10">
        <v>0.53987904884596605</v>
      </c>
      <c r="AA10">
        <v>-0.33591118113824903</v>
      </c>
      <c r="AB10">
        <v>0.44530218131426502</v>
      </c>
      <c r="AC10">
        <v>-0.189041894533449</v>
      </c>
      <c r="AD10">
        <v>-0.59512601303295898</v>
      </c>
      <c r="AE10">
        <v>1.92879091055238E-2</v>
      </c>
    </row>
    <row r="11" spans="1:31" x14ac:dyDescent="0.35">
      <c r="A11" t="s">
        <v>41</v>
      </c>
      <c r="B11" t="s">
        <v>42</v>
      </c>
      <c r="C11">
        <v>0</v>
      </c>
      <c r="D11">
        <v>-0.10021933882297</v>
      </c>
      <c r="E11">
        <v>-0.18895750920943799</v>
      </c>
      <c r="F11">
        <v>-0.40927729861628898</v>
      </c>
      <c r="G11">
        <v>3.1964415242308503E-2</v>
      </c>
      <c r="H11">
        <v>5.6885468426966001E-3</v>
      </c>
      <c r="I11">
        <v>0.18199766032275999</v>
      </c>
      <c r="J11">
        <v>6.9886573575032003E-3</v>
      </c>
      <c r="K11">
        <v>0.23748378909972601</v>
      </c>
      <c r="L11">
        <v>-2.4409454094093301E-4</v>
      </c>
      <c r="M11">
        <v>0</v>
      </c>
      <c r="N11">
        <v>-9.9896093511049611E-4</v>
      </c>
      <c r="O11">
        <v>0</v>
      </c>
      <c r="P11">
        <v>-8.3673707460128807E-3</v>
      </c>
      <c r="Q11">
        <v>-7.46265037458759E-2</v>
      </c>
      <c r="R11">
        <v>-2.6048206028168701E-2</v>
      </c>
      <c r="S11">
        <v>-1.38103838239934E-2</v>
      </c>
      <c r="T11">
        <v>-8.5423386433022899E-3</v>
      </c>
      <c r="U11">
        <v>9.9183752678764695E-5</v>
      </c>
      <c r="V11">
        <v>-5.2655433301352999E-4</v>
      </c>
      <c r="W11">
        <v>0.21227328474776899</v>
      </c>
      <c r="X11">
        <v>-4.0552934182695299E-3</v>
      </c>
      <c r="Y11">
        <v>-0.152548553840329</v>
      </c>
      <c r="Z11">
        <v>-0.136628294192079</v>
      </c>
      <c r="AA11">
        <v>-0.18174867790146701</v>
      </c>
      <c r="AB11">
        <v>0.31269055326356998</v>
      </c>
      <c r="AC11">
        <v>-0.16845714710029799</v>
      </c>
      <c r="AD11">
        <v>-0.45763399513270497</v>
      </c>
      <c r="AE11">
        <v>-0.25657109752575102</v>
      </c>
    </row>
    <row r="12" spans="1:31" x14ac:dyDescent="0.35">
      <c r="A12" t="s">
        <v>43</v>
      </c>
      <c r="B12" t="s">
        <v>42</v>
      </c>
      <c r="C12">
        <v>0</v>
      </c>
      <c r="D12">
        <v>-9.1487922796036902E-2</v>
      </c>
      <c r="E12">
        <v>-0.18797856990234901</v>
      </c>
      <c r="F12">
        <v>-0.36398576044999198</v>
      </c>
      <c r="G12">
        <v>1.2855036336618801E-2</v>
      </c>
      <c r="H12">
        <v>4.6392729159142497E-3</v>
      </c>
      <c r="I12">
        <v>7.1097532169157304E-2</v>
      </c>
      <c r="J12">
        <v>9.6981954247357793E-3</v>
      </c>
      <c r="K12">
        <v>0.17780099266107899</v>
      </c>
      <c r="L12">
        <v>2.68155371055342E-2</v>
      </c>
      <c r="M12">
        <v>0</v>
      </c>
      <c r="N12">
        <v>-9.7192310751689304E-4</v>
      </c>
      <c r="O12">
        <v>0</v>
      </c>
      <c r="P12">
        <v>-7.7753445618424198E-3</v>
      </c>
      <c r="Q12">
        <v>-3.6283497165518701E-2</v>
      </c>
      <c r="R12">
        <v>-3.9026383613157399E-3</v>
      </c>
      <c r="S12">
        <v>-1.28548485299851E-2</v>
      </c>
      <c r="T12">
        <v>-7.6754748377312098E-3</v>
      </c>
      <c r="U12">
        <v>8.8049722765629596E-5</v>
      </c>
      <c r="V12">
        <v>-4.45468017451337E-4</v>
      </c>
      <c r="W12">
        <v>0.217438994631074</v>
      </c>
      <c r="X12">
        <v>1.42899298355908E-2</v>
      </c>
      <c r="Y12">
        <v>-0.195837354086219</v>
      </c>
      <c r="Z12">
        <v>-8.3629138612166795E-2</v>
      </c>
      <c r="AA12">
        <v>-0.26533997717866797</v>
      </c>
      <c r="AB12">
        <v>0.36624376547730098</v>
      </c>
      <c r="AC12">
        <v>-0.19806676588072</v>
      </c>
      <c r="AD12">
        <v>-0.477533258579106</v>
      </c>
      <c r="AE12">
        <v>-0.51236261530726501</v>
      </c>
    </row>
    <row r="13" spans="1:31" x14ac:dyDescent="0.35">
      <c r="A13" t="s">
        <v>44</v>
      </c>
      <c r="B13" t="s">
        <v>42</v>
      </c>
      <c r="C13">
        <v>0</v>
      </c>
      <c r="D13">
        <v>9.4960717079008494E-2</v>
      </c>
      <c r="E13">
        <v>-0.18679326743754099</v>
      </c>
      <c r="F13">
        <v>-0.35652685460091799</v>
      </c>
      <c r="G13">
        <v>-5.17525296486206E-3</v>
      </c>
      <c r="H13">
        <v>3.9148396399947801E-3</v>
      </c>
      <c r="I13">
        <v>0.313882330011445</v>
      </c>
      <c r="J13">
        <v>6.5070205318474104E-3</v>
      </c>
      <c r="K13">
        <v>5.3993005991487202E-2</v>
      </c>
      <c r="L13">
        <v>4.0643938098240899E-2</v>
      </c>
      <c r="M13">
        <v>0</v>
      </c>
      <c r="N13">
        <v>-9.4783565666223799E-4</v>
      </c>
      <c r="O13">
        <v>0</v>
      </c>
      <c r="P13">
        <v>-7.1485207788222101E-3</v>
      </c>
      <c r="Q13">
        <v>-2.8042467224146102E-3</v>
      </c>
      <c r="R13">
        <v>-2.66767452900793E-3</v>
      </c>
      <c r="S13">
        <v>-1.4294821389197999E-2</v>
      </c>
      <c r="T13">
        <v>-7.0418371850735403E-3</v>
      </c>
      <c r="U13">
        <v>-1.7145974559277E-4</v>
      </c>
      <c r="V13">
        <v>-4.11448413644342E-4</v>
      </c>
      <c r="W13">
        <v>0.26109163183346201</v>
      </c>
      <c r="X13">
        <v>2.3524588957321999E-2</v>
      </c>
      <c r="Y13">
        <v>4.3261334756798601E-2</v>
      </c>
      <c r="Z13">
        <v>-0.13509388511533099</v>
      </c>
      <c r="AA13">
        <v>-3.6205696630105498E-2</v>
      </c>
      <c r="AB13">
        <v>0.34352831193129402</v>
      </c>
      <c r="AC13">
        <v>6.7454912937618003E-2</v>
      </c>
      <c r="AD13">
        <v>-2.43776374209147E-2</v>
      </c>
      <c r="AE13">
        <v>-0.38866772604142102</v>
      </c>
    </row>
    <row r="14" spans="1:31" x14ac:dyDescent="0.35">
      <c r="A14" t="s">
        <v>45</v>
      </c>
      <c r="B14" t="s">
        <v>42</v>
      </c>
      <c r="C14">
        <v>0</v>
      </c>
      <c r="D14">
        <v>-0.10034773664140199</v>
      </c>
      <c r="E14">
        <v>-0.19788469881148801</v>
      </c>
      <c r="F14">
        <v>-0.30446779749407399</v>
      </c>
      <c r="G14">
        <v>2.60357465574721E-3</v>
      </c>
      <c r="H14">
        <v>3.0297408438642098E-3</v>
      </c>
      <c r="I14">
        <v>0.24883676109205699</v>
      </c>
      <c r="J14">
        <v>4.4335969424576004E-3</v>
      </c>
      <c r="K14">
        <v>-0.180508287173578</v>
      </c>
      <c r="L14">
        <v>4.94236866899661E-2</v>
      </c>
      <c r="M14">
        <v>0</v>
      </c>
      <c r="N14">
        <v>0</v>
      </c>
      <c r="O14">
        <v>0</v>
      </c>
      <c r="P14">
        <v>-7.6631956825140403E-3</v>
      </c>
      <c r="Q14">
        <v>-9.3948558553592703E-5</v>
      </c>
      <c r="R14">
        <v>-2.2399328560741599E-3</v>
      </c>
      <c r="S14">
        <v>-9.8355115133880299E-3</v>
      </c>
      <c r="T14">
        <v>-6.46551279772871E-3</v>
      </c>
      <c r="U14">
        <v>-1.99755982666422E-4</v>
      </c>
      <c r="V14">
        <v>-3.82465757702634E-4</v>
      </c>
      <c r="W14">
        <v>0.17472506821242401</v>
      </c>
      <c r="X14">
        <v>2.5880915403616402E-2</v>
      </c>
      <c r="Y14">
        <v>-0.18462882311981699</v>
      </c>
      <c r="Z14">
        <v>-0.11360361233307199</v>
      </c>
      <c r="AA14">
        <v>-4.4754206923831703E-2</v>
      </c>
      <c r="AB14">
        <v>4.2983906459462998E-2</v>
      </c>
      <c r="AC14">
        <v>-0.14174987369224801</v>
      </c>
      <c r="AD14">
        <v>-0.43998230914513797</v>
      </c>
      <c r="AE14">
        <v>-0.34988180006946601</v>
      </c>
    </row>
    <row r="15" spans="1:31" x14ac:dyDescent="0.35">
      <c r="A15" t="s">
        <v>46</v>
      </c>
      <c r="B15" t="s">
        <v>42</v>
      </c>
      <c r="C15">
        <v>0</v>
      </c>
      <c r="D15">
        <v>-0.109448577433232</v>
      </c>
      <c r="E15">
        <v>-0.18767070266208299</v>
      </c>
      <c r="F15">
        <v>-0.24475184305834199</v>
      </c>
      <c r="G15">
        <v>1.5495770924980201E-2</v>
      </c>
      <c r="H15">
        <v>9.9076530341269693E-3</v>
      </c>
      <c r="I15">
        <v>7.6554648901424605E-2</v>
      </c>
      <c r="J15">
        <v>3.7277292757793702E-3</v>
      </c>
      <c r="K15">
        <v>-5.2434426334443299E-2</v>
      </c>
      <c r="L15">
        <v>9.3675739065071095E-3</v>
      </c>
      <c r="M15">
        <v>0</v>
      </c>
      <c r="N15">
        <v>0</v>
      </c>
      <c r="O15">
        <v>0</v>
      </c>
      <c r="P15">
        <v>-6.6907591403234396E-3</v>
      </c>
      <c r="Q15">
        <v>6.0136996133741498E-4</v>
      </c>
      <c r="R15">
        <v>-2.8257296480183498E-3</v>
      </c>
      <c r="S15">
        <v>-6.7070295019788801E-3</v>
      </c>
      <c r="T15">
        <v>-5.76628720574865E-3</v>
      </c>
      <c r="U15">
        <v>-7.2697937252989599E-3</v>
      </c>
      <c r="V15">
        <v>-3.32772769679777E-4</v>
      </c>
      <c r="W15">
        <v>0.16990947076133001</v>
      </c>
      <c r="X15">
        <v>5.6939493324594899E-3</v>
      </c>
      <c r="Y15">
        <v>-0.14339816162501101</v>
      </c>
      <c r="Z15">
        <v>-0.15372111847030301</v>
      </c>
      <c r="AA15">
        <v>-0.138816492803019</v>
      </c>
      <c r="AB15">
        <v>0.10365877210157599</v>
      </c>
      <c r="AC15">
        <v>-0.17500411195424601</v>
      </c>
      <c r="AD15">
        <v>-0.472123392049561</v>
      </c>
      <c r="AE15">
        <v>-0.35350414929868001</v>
      </c>
    </row>
    <row r="16" spans="1:31" x14ac:dyDescent="0.35">
      <c r="A16" t="s">
        <v>47</v>
      </c>
      <c r="B16" t="s">
        <v>42</v>
      </c>
      <c r="C16">
        <v>0</v>
      </c>
      <c r="D16">
        <v>-0.12831973946505601</v>
      </c>
      <c r="E16">
        <v>-0.198482369960888</v>
      </c>
      <c r="F16">
        <v>-0.221282465505201</v>
      </c>
      <c r="G16">
        <v>2.67850730649783E-2</v>
      </c>
      <c r="H16">
        <v>1.7342576763045799E-2</v>
      </c>
      <c r="I16">
        <v>-5.3219630374798398E-2</v>
      </c>
      <c r="J16">
        <v>5.4605074072783004E-3</v>
      </c>
      <c r="K16">
        <v>-4.3726785108924599E-3</v>
      </c>
      <c r="L16">
        <v>9.4824810682655695E-3</v>
      </c>
      <c r="M16">
        <v>0</v>
      </c>
      <c r="N16">
        <v>0</v>
      </c>
      <c r="O16">
        <v>0</v>
      </c>
      <c r="P16">
        <v>-5.5662077626494897E-3</v>
      </c>
      <c r="Q16">
        <v>2.3570059463391998E-3</v>
      </c>
      <c r="R16">
        <v>-2.9728776926127998E-4</v>
      </c>
      <c r="S16">
        <v>-3.0653343091065401E-3</v>
      </c>
      <c r="T16">
        <v>-3.2052847720757198E-3</v>
      </c>
      <c r="U16">
        <v>-6.1435498535575596E-3</v>
      </c>
      <c r="V16">
        <v>-3.2731495224799399E-4</v>
      </c>
      <c r="W16">
        <v>0.15165160506297501</v>
      </c>
      <c r="X16">
        <v>1.0254324540653E-2</v>
      </c>
      <c r="Y16">
        <v>-0.187108420211128</v>
      </c>
      <c r="Z16">
        <v>-0.13969368921481601</v>
      </c>
      <c r="AA16">
        <v>-0.224901857834582</v>
      </c>
      <c r="AB16">
        <v>0.150770821509215</v>
      </c>
      <c r="AC16">
        <v>-0.21376998161018701</v>
      </c>
      <c r="AD16">
        <v>-0.54057209103613102</v>
      </c>
      <c r="AE16">
        <v>-0.36926385741293599</v>
      </c>
    </row>
    <row r="17" spans="1:31" x14ac:dyDescent="0.35">
      <c r="A17" t="s">
        <v>48</v>
      </c>
      <c r="B17" t="s">
        <v>42</v>
      </c>
      <c r="C17">
        <v>0</v>
      </c>
      <c r="D17">
        <v>-5.5391695306414503E-2</v>
      </c>
      <c r="E17">
        <v>-0.202712782891321</v>
      </c>
      <c r="F17">
        <v>-0.36958202947861302</v>
      </c>
      <c r="G17">
        <v>1.8037615083389399E-2</v>
      </c>
      <c r="H17">
        <v>3.03083378270185E-2</v>
      </c>
      <c r="I17">
        <v>-0.20024746248282299</v>
      </c>
      <c r="J17">
        <v>5.53307401008943E-3</v>
      </c>
      <c r="K17">
        <v>1.04177760534223E-2</v>
      </c>
      <c r="L17">
        <v>1.03984789268344E-2</v>
      </c>
      <c r="M17">
        <v>0</v>
      </c>
      <c r="N17">
        <v>0</v>
      </c>
      <c r="O17">
        <v>0</v>
      </c>
      <c r="P17">
        <v>-2.8424159735486601E-3</v>
      </c>
      <c r="Q17">
        <v>2.95299579862871E-3</v>
      </c>
      <c r="R17">
        <v>-2.9186795967888E-4</v>
      </c>
      <c r="S17">
        <v>-1.36738306873086E-3</v>
      </c>
      <c r="T17">
        <v>-1.8113138233232799E-3</v>
      </c>
      <c r="U17">
        <v>-5.6932828844747001E-3</v>
      </c>
      <c r="V17">
        <v>-3.20879541638737E-4</v>
      </c>
      <c r="W17">
        <v>0.14279911860608499</v>
      </c>
      <c r="X17">
        <v>1.3349939873235499E-2</v>
      </c>
      <c r="Y17">
        <v>-0.100152985313019</v>
      </c>
      <c r="Z17">
        <v>-0.15795149288471599</v>
      </c>
      <c r="AA17">
        <v>-0.51641870843158599</v>
      </c>
      <c r="AB17">
        <v>0.16755263322973499</v>
      </c>
      <c r="AC17">
        <v>-0.38794658425019901</v>
      </c>
      <c r="AD17">
        <v>-0.64605106244793398</v>
      </c>
      <c r="AE17">
        <v>-0.52468221366969103</v>
      </c>
    </row>
    <row r="18" spans="1:31" x14ac:dyDescent="0.35">
      <c r="A18" t="s">
        <v>49</v>
      </c>
      <c r="B18" t="s">
        <v>42</v>
      </c>
      <c r="C18">
        <v>0</v>
      </c>
      <c r="D18">
        <v>-0.10225670887527</v>
      </c>
      <c r="E18">
        <v>-0.19118455586668001</v>
      </c>
      <c r="F18">
        <v>-0.20140744129011801</v>
      </c>
      <c r="G18">
        <v>2.3800282989591699E-2</v>
      </c>
      <c r="H18">
        <v>4.0534927781801303E-2</v>
      </c>
      <c r="I18">
        <v>-0.31115121931629902</v>
      </c>
      <c r="J18">
        <v>4.6304890358173801E-3</v>
      </c>
      <c r="K18">
        <v>1.4279882794093901E-2</v>
      </c>
      <c r="L18">
        <v>1.0613895333767401E-2</v>
      </c>
      <c r="M18">
        <v>0</v>
      </c>
      <c r="N18">
        <v>0</v>
      </c>
      <c r="O18">
        <v>0</v>
      </c>
      <c r="P18">
        <v>-8.1672553494899301E-4</v>
      </c>
      <c r="Q18">
        <v>2.5172321776731001E-3</v>
      </c>
      <c r="R18">
        <v>-2.8515852447727301E-4</v>
      </c>
      <c r="S18">
        <v>-1.0320556003754499E-3</v>
      </c>
      <c r="T18">
        <v>-1.5233461318852799E-3</v>
      </c>
      <c r="U18">
        <v>-5.2365158411973901E-3</v>
      </c>
      <c r="V18">
        <v>-3.1358356411214999E-4</v>
      </c>
      <c r="W18">
        <v>0.12442800143668201</v>
      </c>
      <c r="X18">
        <v>1.8437259665240801E-2</v>
      </c>
      <c r="Y18">
        <v>-0.14609606280933299</v>
      </c>
      <c r="Z18">
        <v>-0.14734520193261699</v>
      </c>
      <c r="AA18">
        <v>-0.44389748941576501</v>
      </c>
      <c r="AB18">
        <v>0.16101672338406101</v>
      </c>
      <c r="AC18">
        <v>-0.322117786211081</v>
      </c>
      <c r="AD18">
        <v>-0.61555905095303098</v>
      </c>
      <c r="AE18">
        <v>-0.56857639912166402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08162-6996-498F-A510-6B43FCFC1CEE}">
  <dimension ref="A1:AE18"/>
  <sheetViews>
    <sheetView workbookViewId="0">
      <selection activeCell="N11" sqref="N11"/>
    </sheetView>
  </sheetViews>
  <sheetFormatPr defaultRowHeight="14.5" x14ac:dyDescent="0.35"/>
  <sheetData>
    <row r="1" spans="1:31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B2" t="s">
        <v>32</v>
      </c>
      <c r="C2">
        <v>-1</v>
      </c>
      <c r="D2">
        <v>-0.14802611157274501</v>
      </c>
      <c r="E2">
        <v>0.32935983920596001</v>
      </c>
      <c r="F2">
        <v>0.40168306970290102</v>
      </c>
      <c r="G2">
        <v>0.18603734505634201</v>
      </c>
      <c r="H2">
        <v>-8.94936530882256E-2</v>
      </c>
      <c r="I2">
        <v>0.235358292343292</v>
      </c>
      <c r="J2">
        <v>-4.1113771969934799E-2</v>
      </c>
      <c r="K2">
        <v>-0.110305489658881</v>
      </c>
      <c r="L2">
        <v>-3.9292216707090502E-2</v>
      </c>
      <c r="M2">
        <v>-0.250812072873001</v>
      </c>
      <c r="N2">
        <v>-0.42408041297215698</v>
      </c>
      <c r="O2">
        <v>-0.28390642327914301</v>
      </c>
      <c r="P2">
        <v>2.09480010861266E-2</v>
      </c>
      <c r="Q2">
        <v>-0.36373095377918202</v>
      </c>
      <c r="R2">
        <v>5.0505984440364898E-4</v>
      </c>
      <c r="S2">
        <v>-4.1864783224422601E-2</v>
      </c>
      <c r="T2">
        <v>-9.6126641659024806E-2</v>
      </c>
      <c r="U2">
        <v>-8.0992848567109695E-3</v>
      </c>
      <c r="V2">
        <v>-8.9153330195928897E-4</v>
      </c>
      <c r="W2">
        <v>0.171036490137769</v>
      </c>
      <c r="X2">
        <v>0.10677013991119801</v>
      </c>
      <c r="Y2">
        <v>-0.23313551122967099</v>
      </c>
      <c r="Z2">
        <v>0.414469238862886</v>
      </c>
      <c r="AA2">
        <v>0.69131517281219701</v>
      </c>
      <c r="AB2">
        <v>-1.32629278524743</v>
      </c>
      <c r="AC2">
        <v>-0.62530359394508905</v>
      </c>
      <c r="AD2">
        <v>-0.44396986631187402</v>
      </c>
      <c r="AE2">
        <v>-0.83664880260933905</v>
      </c>
    </row>
    <row r="3" spans="1:31" x14ac:dyDescent="0.35">
      <c r="A3" t="s">
        <v>33</v>
      </c>
      <c r="B3" t="s">
        <v>32</v>
      </c>
      <c r="C3">
        <v>-1</v>
      </c>
      <c r="D3">
        <v>0.29138772747964098</v>
      </c>
      <c r="E3">
        <v>0.20751042016384599</v>
      </c>
      <c r="F3">
        <v>0.113357457258702</v>
      </c>
      <c r="G3">
        <v>9.7716048972668196E-2</v>
      </c>
      <c r="H3">
        <v>-7.0690113624919296E-2</v>
      </c>
      <c r="I3">
        <v>0.23102780499548001</v>
      </c>
      <c r="J3">
        <v>-3.3405652214011802E-2</v>
      </c>
      <c r="K3">
        <v>-3.5337896134434499E-2</v>
      </c>
      <c r="L3">
        <v>-9.7526156234725395E-2</v>
      </c>
      <c r="M3">
        <v>-3.3451247097991299E-2</v>
      </c>
      <c r="N3">
        <v>-7.7388778211201796E-3</v>
      </c>
      <c r="O3">
        <v>-0.13051736587268001</v>
      </c>
      <c r="P3">
        <v>4.4718452819064197E-2</v>
      </c>
      <c r="Q3">
        <v>-0.37795184928776498</v>
      </c>
      <c r="R3">
        <v>5.950273560484E-4</v>
      </c>
      <c r="S3">
        <v>-2.6783451026086001E-2</v>
      </c>
      <c r="T3">
        <v>-9.6213710590928994E-2</v>
      </c>
      <c r="U3">
        <v>-0.13797271237506301</v>
      </c>
      <c r="V3">
        <v>-6.5844159084846603E-5</v>
      </c>
      <c r="W3">
        <v>-8.0930364752975201E-2</v>
      </c>
      <c r="X3">
        <v>0.246367721831767</v>
      </c>
      <c r="Y3">
        <v>-0.13834317705567301</v>
      </c>
      <c r="Z3">
        <v>0.63724132469915995</v>
      </c>
      <c r="AA3">
        <v>0.33783629896978201</v>
      </c>
      <c r="AB3">
        <v>-0.73419659789214797</v>
      </c>
      <c r="AC3">
        <v>-0.39377436612322902</v>
      </c>
      <c r="AD3">
        <v>0.105123781520258</v>
      </c>
      <c r="AE3">
        <v>-0.21142278492106101</v>
      </c>
    </row>
    <row r="4" spans="1:31" x14ac:dyDescent="0.35">
      <c r="A4" t="s">
        <v>34</v>
      </c>
      <c r="B4" t="s">
        <v>32</v>
      </c>
      <c r="C4">
        <v>-1</v>
      </c>
      <c r="D4">
        <v>7.0409518749265695E-2</v>
      </c>
      <c r="E4">
        <v>0.334563146011224</v>
      </c>
      <c r="F4">
        <v>8.4390722113830099E-2</v>
      </c>
      <c r="G4">
        <v>5.2044238372703902E-2</v>
      </c>
      <c r="H4">
        <v>-8.2460773399014101E-2</v>
      </c>
      <c r="I4">
        <v>8.2750407381655997E-2</v>
      </c>
      <c r="J4">
        <v>-3.7624014205788599E-2</v>
      </c>
      <c r="K4">
        <v>-0.20119765322797301</v>
      </c>
      <c r="L4">
        <v>-0.25248892574124898</v>
      </c>
      <c r="M4">
        <v>0</v>
      </c>
      <c r="N4">
        <v>-6.2254865808341201E-3</v>
      </c>
      <c r="O4">
        <v>-7.4273918697488001E-3</v>
      </c>
      <c r="P4">
        <v>2.51765765432529E-2</v>
      </c>
      <c r="Q4">
        <v>-0.16467395034127</v>
      </c>
      <c r="R4">
        <v>-5.7101380587429003E-3</v>
      </c>
      <c r="S4">
        <v>-2.6574551007999901E-2</v>
      </c>
      <c r="T4">
        <v>-9.6631639124960103E-2</v>
      </c>
      <c r="U4">
        <v>-0.112668281418978</v>
      </c>
      <c r="V4">
        <v>-4.64375413991062E-5</v>
      </c>
      <c r="W4">
        <v>5.7480661108821697E-2</v>
      </c>
      <c r="X4">
        <v>7.3497892891865396E-2</v>
      </c>
      <c r="Y4">
        <v>0.28189703895139501</v>
      </c>
      <c r="Z4">
        <v>0.12307562580909499</v>
      </c>
      <c r="AA4">
        <v>9.91802501470916E-2</v>
      </c>
      <c r="AB4">
        <v>-0.71934747789901798</v>
      </c>
      <c r="AC4">
        <v>-0.619412911595139</v>
      </c>
      <c r="AD4">
        <v>-0.21444024683464899</v>
      </c>
      <c r="AE4">
        <v>-0.16449788449498301</v>
      </c>
    </row>
    <row r="5" spans="1:31" x14ac:dyDescent="0.35">
      <c r="A5" t="s">
        <v>35</v>
      </c>
      <c r="B5" t="s">
        <v>32</v>
      </c>
      <c r="C5">
        <v>-1</v>
      </c>
      <c r="D5">
        <v>-9.5656904722252106E-2</v>
      </c>
      <c r="E5">
        <v>9.6940855523302893E-2</v>
      </c>
      <c r="F5">
        <v>0.49002857232950098</v>
      </c>
      <c r="G5">
        <v>0.208391135077172</v>
      </c>
      <c r="H5">
        <v>-4.9307544114357997E-2</v>
      </c>
      <c r="I5">
        <v>0.127323007835629</v>
      </c>
      <c r="J5">
        <v>-3.1435768777114702E-2</v>
      </c>
      <c r="K5">
        <v>-1.5431334318346699E-2</v>
      </c>
      <c r="L5">
        <v>-2.4236114768831401E-2</v>
      </c>
      <c r="M5">
        <v>0</v>
      </c>
      <c r="N5">
        <v>-0.1116771169521</v>
      </c>
      <c r="O5">
        <v>-1.4130478598766601E-3</v>
      </c>
      <c r="P5">
        <v>1.48527177757743E-2</v>
      </c>
      <c r="Q5">
        <v>-0.147876796119602</v>
      </c>
      <c r="R5">
        <v>-6.5334557705919397E-3</v>
      </c>
      <c r="S5">
        <v>-3.7491897544000202E-2</v>
      </c>
      <c r="T5">
        <v>-6.3307767234083601E-2</v>
      </c>
      <c r="U5">
        <v>-0.104470891080262</v>
      </c>
      <c r="V5">
        <v>-5.8359649790091399E-4</v>
      </c>
      <c r="W5">
        <v>-0.139181652755761</v>
      </c>
      <c r="X5">
        <v>0.13055531739648699</v>
      </c>
      <c r="Y5">
        <v>-0.141987561627687</v>
      </c>
      <c r="Z5">
        <v>0.14327151242873801</v>
      </c>
      <c r="AA5">
        <v>0.743670148290004</v>
      </c>
      <c r="AB5">
        <v>-0.50768403721561195</v>
      </c>
      <c r="AC5">
        <v>0.23996769845038701</v>
      </c>
      <c r="AD5">
        <v>0.24125164925143799</v>
      </c>
      <c r="AE5">
        <v>-7.8008670593706503E-2</v>
      </c>
    </row>
    <row r="6" spans="1:31" x14ac:dyDescent="0.35">
      <c r="A6" t="s">
        <v>36</v>
      </c>
      <c r="B6" t="s">
        <v>32</v>
      </c>
      <c r="C6">
        <v>-1</v>
      </c>
      <c r="D6">
        <v>0.12347864355657601</v>
      </c>
      <c r="E6">
        <v>5.1398582782936103E-2</v>
      </c>
      <c r="F6">
        <v>0.350634639232693</v>
      </c>
      <c r="G6">
        <v>0.18132833289649899</v>
      </c>
      <c r="H6">
        <v>-4.3718431978597302E-2</v>
      </c>
      <c r="I6">
        <v>9.4528726965219897E-2</v>
      </c>
      <c r="J6">
        <v>-2.2967963618569998E-2</v>
      </c>
      <c r="K6">
        <v>0.17944505351008599</v>
      </c>
      <c r="L6">
        <v>2.0341748838583099E-2</v>
      </c>
      <c r="M6">
        <v>0</v>
      </c>
      <c r="N6">
        <v>-0.104667995470671</v>
      </c>
      <c r="O6">
        <v>-6.71988407316382E-4</v>
      </c>
      <c r="P6">
        <v>1.2605510376570201E-2</v>
      </c>
      <c r="Q6">
        <v>-0.34619775619210402</v>
      </c>
      <c r="R6">
        <v>-1.6772231715069301E-2</v>
      </c>
      <c r="S6">
        <v>-3.5908570943400497E-2</v>
      </c>
      <c r="T6">
        <v>-5.0238210637218797E-2</v>
      </c>
      <c r="U6">
        <v>-9.6103418388998496E-2</v>
      </c>
      <c r="V6">
        <v>-2.1619606193804901E-3</v>
      </c>
      <c r="W6">
        <v>-0.10798661114378599</v>
      </c>
      <c r="X6">
        <v>0.112651604454477</v>
      </c>
      <c r="Y6">
        <v>0.19183196160476301</v>
      </c>
      <c r="Z6">
        <v>-1.6954735265250501E-2</v>
      </c>
      <c r="AA6">
        <v>0.55904504351116302</v>
      </c>
      <c r="AB6">
        <v>-0.435603111701512</v>
      </c>
      <c r="AC6">
        <v>0.125972621508951</v>
      </c>
      <c r="AD6">
        <v>0.30084984784846303</v>
      </c>
      <c r="AE6">
        <v>0.10819625794637799</v>
      </c>
    </row>
    <row r="7" spans="1:31" x14ac:dyDescent="0.35">
      <c r="A7" t="s">
        <v>37</v>
      </c>
      <c r="B7" t="s">
        <v>32</v>
      </c>
      <c r="C7">
        <v>-1</v>
      </c>
      <c r="D7">
        <v>0.40650570357638799</v>
      </c>
      <c r="E7">
        <v>0.136691698568599</v>
      </c>
      <c r="F7">
        <v>0.26769889286291498</v>
      </c>
      <c r="G7">
        <v>2.1497719565335398E-2</v>
      </c>
      <c r="H7">
        <v>-4.6904813382794501E-2</v>
      </c>
      <c r="I7">
        <v>-9.5365599689748198E-2</v>
      </c>
      <c r="J7">
        <v>-1.250579938059E-2</v>
      </c>
      <c r="K7">
        <v>0.262851861848517</v>
      </c>
      <c r="L7">
        <v>4.9653197595397103E-2</v>
      </c>
      <c r="M7">
        <v>0</v>
      </c>
      <c r="N7">
        <v>-0.100405578542052</v>
      </c>
      <c r="O7">
        <v>-3.3408506757194801E-4</v>
      </c>
      <c r="P7">
        <v>1.04559636480671E-2</v>
      </c>
      <c r="Q7">
        <v>-0.30976776467698602</v>
      </c>
      <c r="R7">
        <v>-6.6690089586276202E-2</v>
      </c>
      <c r="S7">
        <v>-3.4038325524147602E-2</v>
      </c>
      <c r="T7">
        <v>-4.3936535393618102E-2</v>
      </c>
      <c r="U7">
        <v>-5.5729672642463098E-2</v>
      </c>
      <c r="V7">
        <v>-4.4268524616808E-5</v>
      </c>
      <c r="W7">
        <v>0.20674711777249699</v>
      </c>
      <c r="X7">
        <v>4.4619556639790899E-2</v>
      </c>
      <c r="Y7">
        <v>0.63577579400065898</v>
      </c>
      <c r="Z7">
        <v>-9.2578391855672001E-2</v>
      </c>
      <c r="AA7">
        <v>0.134763398238193</v>
      </c>
      <c r="AB7">
        <v>-3.5405604657315098E-2</v>
      </c>
      <c r="AC7">
        <v>9.9407740818897306E-2</v>
      </c>
      <c r="AD7">
        <v>0.64260514296388405</v>
      </c>
      <c r="AE7">
        <v>0.242566598307284</v>
      </c>
    </row>
    <row r="8" spans="1:31" x14ac:dyDescent="0.35">
      <c r="A8" t="s">
        <v>38</v>
      </c>
      <c r="B8" t="s">
        <v>32</v>
      </c>
      <c r="C8">
        <v>-1</v>
      </c>
      <c r="D8">
        <v>0.133873781721287</v>
      </c>
      <c r="E8">
        <v>4.0840032414223203E-2</v>
      </c>
      <c r="F8">
        <v>0.26578106401662999</v>
      </c>
      <c r="G8">
        <v>2.9094858618363102E-2</v>
      </c>
      <c r="H8">
        <v>-4.3595018523922301E-2</v>
      </c>
      <c r="I8">
        <v>-0.133729009875071</v>
      </c>
      <c r="J8">
        <v>1.13690102002034E-2</v>
      </c>
      <c r="K8">
        <v>0.27225397073088298</v>
      </c>
      <c r="L8">
        <v>1.6960520897413001E-2</v>
      </c>
      <c r="M8">
        <v>0</v>
      </c>
      <c r="N8">
        <v>-0.10036426676492601</v>
      </c>
      <c r="O8">
        <v>-1.7257240165849299E-4</v>
      </c>
      <c r="P8">
        <v>5.7762572067887397E-3</v>
      </c>
      <c r="Q8">
        <v>-0.15458604468813</v>
      </c>
      <c r="R8">
        <v>-2.9046972423239802E-2</v>
      </c>
      <c r="S8">
        <v>-2.2294995129037001E-2</v>
      </c>
      <c r="T8">
        <v>-2.6522516209101999E-2</v>
      </c>
      <c r="U8">
        <v>-3.0672088360098701E-2</v>
      </c>
      <c r="V8">
        <v>-5.5553434027490802E-5</v>
      </c>
      <c r="W8">
        <v>0.14998115565769099</v>
      </c>
      <c r="X8">
        <v>0.15091666254341701</v>
      </c>
      <c r="Y8">
        <v>0.152548376323595</v>
      </c>
      <c r="Z8">
        <v>2.2165437811915399E-2</v>
      </c>
      <c r="AA8">
        <v>0.129308826051373</v>
      </c>
      <c r="AB8">
        <v>0.23270567166299999</v>
      </c>
      <c r="AC8">
        <v>0.36170216392897597</v>
      </c>
      <c r="AD8">
        <v>0.53641597806448604</v>
      </c>
      <c r="AE8">
        <v>0.43028065453206799</v>
      </c>
    </row>
    <row r="9" spans="1:31" x14ac:dyDescent="0.35">
      <c r="A9" t="s">
        <v>39</v>
      </c>
      <c r="B9" t="s">
        <v>32</v>
      </c>
      <c r="C9">
        <v>-1</v>
      </c>
      <c r="D9">
        <v>-0.51945344220673595</v>
      </c>
      <c r="E9">
        <v>-3.6329068795956501E-2</v>
      </c>
      <c r="F9">
        <v>-6.8923507981179702E-2</v>
      </c>
      <c r="G9">
        <v>4.5824279035484701E-2</v>
      </c>
      <c r="H9">
        <v>-2.9899308445754599E-2</v>
      </c>
      <c r="I9">
        <v>2.4851299983382799E-2</v>
      </c>
      <c r="J9">
        <v>1.3575618265951101E-2</v>
      </c>
      <c r="K9">
        <v>0.18178302235421301</v>
      </c>
      <c r="L9">
        <v>-8.9342834717323107E-3</v>
      </c>
      <c r="M9">
        <v>0</v>
      </c>
      <c r="N9">
        <v>-9.6865948504741201E-2</v>
      </c>
      <c r="O9">
        <v>0</v>
      </c>
      <c r="P9">
        <v>4.4613387682665602E-4</v>
      </c>
      <c r="Q9">
        <v>-7.3745275639246904E-2</v>
      </c>
      <c r="R9">
        <v>-2.81145842287071E-2</v>
      </c>
      <c r="S9">
        <v>-1.4963859323346399E-2</v>
      </c>
      <c r="T9">
        <v>-1.06082419539028E-2</v>
      </c>
      <c r="U9">
        <v>-3.0099482833375799E-2</v>
      </c>
      <c r="V9">
        <v>-3.0217362087457E-4</v>
      </c>
      <c r="W9">
        <v>0.103999770504797</v>
      </c>
      <c r="X9">
        <v>2.61260701306016E-3</v>
      </c>
      <c r="Y9">
        <v>-1.16995132804385</v>
      </c>
      <c r="Z9">
        <v>0.614168817041161</v>
      </c>
      <c r="AA9">
        <v>-1.4527611156299899E-2</v>
      </c>
      <c r="AB9">
        <v>2.5525593403408701E-2</v>
      </c>
      <c r="AC9">
        <v>1.1001899031202E-2</v>
      </c>
      <c r="AD9">
        <v>-0.54478061197149097</v>
      </c>
      <c r="AE9">
        <v>0.23377258922633601</v>
      </c>
    </row>
    <row r="10" spans="1:31" x14ac:dyDescent="0.35">
      <c r="A10" t="s">
        <v>40</v>
      </c>
      <c r="B10" t="s">
        <v>32</v>
      </c>
      <c r="C10">
        <v>-1</v>
      </c>
      <c r="D10">
        <v>-0.49659070787292697</v>
      </c>
      <c r="E10">
        <v>9.0506589373416602E-2</v>
      </c>
      <c r="F10">
        <v>-0.49360351627841198</v>
      </c>
      <c r="G10">
        <v>-3.9331912203167403E-2</v>
      </c>
      <c r="H10">
        <v>-2.5092284915915201E-2</v>
      </c>
      <c r="I10">
        <v>0.187169199391747</v>
      </c>
      <c r="J10">
        <v>1.9233387701995601E-3</v>
      </c>
      <c r="K10">
        <v>0.46724310870124203</v>
      </c>
      <c r="L10">
        <v>-1.45027864177198E-2</v>
      </c>
      <c r="M10">
        <v>0</v>
      </c>
      <c r="N10">
        <v>-9.4949894815243602E-2</v>
      </c>
      <c r="O10">
        <v>0</v>
      </c>
      <c r="P10">
        <v>1.8247773810152401E-3</v>
      </c>
      <c r="Q10">
        <v>-9.49991988352311E-2</v>
      </c>
      <c r="R10">
        <v>-2.6737310243037899E-2</v>
      </c>
      <c r="S10">
        <v>-1.3483429468480799E-2</v>
      </c>
      <c r="T10">
        <v>-1.00208283497742E-2</v>
      </c>
      <c r="U10">
        <v>-2.3738219379538301E-2</v>
      </c>
      <c r="V10">
        <v>-1.03804464936561E-3</v>
      </c>
      <c r="W10">
        <v>0.285016460293538</v>
      </c>
      <c r="X10">
        <v>-2.99527412765348E-2</v>
      </c>
      <c r="Y10">
        <v>-0.94596316734547603</v>
      </c>
      <c r="Z10">
        <v>0.53987904884596605</v>
      </c>
      <c r="AA10">
        <v>-0.36817689423191002</v>
      </c>
      <c r="AB10">
        <v>0.44530218131426502</v>
      </c>
      <c r="AC10">
        <v>-0.221157176688978</v>
      </c>
      <c r="AD10">
        <v>-0.62724129518848803</v>
      </c>
      <c r="AE10">
        <v>1.74980346709823E-3</v>
      </c>
    </row>
    <row r="11" spans="1:31" x14ac:dyDescent="0.35">
      <c r="A11" t="s">
        <v>41</v>
      </c>
      <c r="B11" t="s">
        <v>42</v>
      </c>
      <c r="C11">
        <v>0</v>
      </c>
      <c r="D11">
        <v>0.163111297253933</v>
      </c>
      <c r="E11">
        <v>-0.18895750920943799</v>
      </c>
      <c r="F11">
        <v>-0.225617648258191</v>
      </c>
      <c r="G11">
        <v>3.1964415242308503E-2</v>
      </c>
      <c r="H11">
        <v>0.18003231988745599</v>
      </c>
      <c r="I11">
        <v>0.18199766032275999</v>
      </c>
      <c r="J11">
        <v>6.9886573575032003E-3</v>
      </c>
      <c r="K11">
        <v>0.23748378909972601</v>
      </c>
      <c r="L11">
        <v>-2.4409454094093301E-4</v>
      </c>
      <c r="M11">
        <v>0</v>
      </c>
      <c r="N11">
        <v>-9.9896093511049611E-4</v>
      </c>
      <c r="O11">
        <v>0</v>
      </c>
      <c r="P11">
        <v>-8.3673707460128807E-3</v>
      </c>
      <c r="Q11">
        <v>-7.46265037458759E-2</v>
      </c>
      <c r="R11">
        <v>-2.6048206028168701E-2</v>
      </c>
      <c r="S11">
        <v>-1.38103838239934E-2</v>
      </c>
      <c r="T11">
        <v>-8.5423386433022899E-3</v>
      </c>
      <c r="U11">
        <v>-2.9638323362874801E-2</v>
      </c>
      <c r="V11">
        <v>-5.2655433301352999E-4</v>
      </c>
      <c r="W11">
        <v>0.22450059422556301</v>
      </c>
      <c r="X11">
        <v>1.9343238159436999E-3</v>
      </c>
      <c r="Y11">
        <v>0.110782082236574</v>
      </c>
      <c r="Z11">
        <v>-0.136628294192079</v>
      </c>
      <c r="AA11">
        <v>0.17582294374249599</v>
      </c>
      <c r="AB11">
        <v>0.30124015726144299</v>
      </c>
      <c r="AC11">
        <v>0.176502666106995</v>
      </c>
      <c r="AD11">
        <v>0.15065645415148901</v>
      </c>
      <c r="AE11">
        <v>-0.121237368736</v>
      </c>
    </row>
    <row r="12" spans="1:31" x14ac:dyDescent="0.35">
      <c r="A12" t="s">
        <v>43</v>
      </c>
      <c r="B12" t="s">
        <v>42</v>
      </c>
      <c r="C12">
        <v>0</v>
      </c>
      <c r="D12">
        <v>5.1277427045617302E-2</v>
      </c>
      <c r="E12">
        <v>-0.18797856990234901</v>
      </c>
      <c r="F12">
        <v>-0.18376482299076699</v>
      </c>
      <c r="G12">
        <v>1.2855036336618801E-2</v>
      </c>
      <c r="H12">
        <v>6.1325207511220198E-2</v>
      </c>
      <c r="I12">
        <v>7.1097532169157304E-2</v>
      </c>
      <c r="J12">
        <v>9.6981954247357793E-3</v>
      </c>
      <c r="K12">
        <v>0.15390502911734</v>
      </c>
      <c r="L12">
        <v>2.68155371055342E-2</v>
      </c>
      <c r="M12">
        <v>0</v>
      </c>
      <c r="N12">
        <v>-9.7192310751689304E-4</v>
      </c>
      <c r="O12">
        <v>0</v>
      </c>
      <c r="P12">
        <v>-7.7753445618424198E-3</v>
      </c>
      <c r="Q12">
        <v>-3.6283497165518701E-2</v>
      </c>
      <c r="R12">
        <v>-3.9026383613157399E-3</v>
      </c>
      <c r="S12">
        <v>-1.28548485299851E-2</v>
      </c>
      <c r="T12">
        <v>-7.6754748377312098E-3</v>
      </c>
      <c r="U12">
        <v>-2.4548492152382501E-2</v>
      </c>
      <c r="V12">
        <v>-4.45468017451337E-4</v>
      </c>
      <c r="W12">
        <v>0.22947080428754399</v>
      </c>
      <c r="X12">
        <v>2.0152617978004699E-2</v>
      </c>
      <c r="Y12">
        <v>-5.3072004244564902E-2</v>
      </c>
      <c r="Z12">
        <v>-8.3629138612166795E-2</v>
      </c>
      <c r="AA12">
        <v>-2.8566525642904E-2</v>
      </c>
      <c r="AB12">
        <v>0.33571050725373403</v>
      </c>
      <c r="AC12">
        <v>7.2456089249874301E-3</v>
      </c>
      <c r="AD12">
        <v>-0.129455533931744</v>
      </c>
      <c r="AE12">
        <v>-0.28770524673505798</v>
      </c>
    </row>
    <row r="13" spans="1:31" x14ac:dyDescent="0.35">
      <c r="A13" t="s">
        <v>44</v>
      </c>
      <c r="B13" t="s">
        <v>42</v>
      </c>
      <c r="C13">
        <v>0</v>
      </c>
      <c r="D13">
        <v>0.29588504945161798</v>
      </c>
      <c r="E13">
        <v>-0.18679326743754099</v>
      </c>
      <c r="F13">
        <v>-0.157889086807043</v>
      </c>
      <c r="G13">
        <v>-5.17525296486206E-3</v>
      </c>
      <c r="H13">
        <v>7.1065183463359799E-2</v>
      </c>
      <c r="I13">
        <v>0.313882330011445</v>
      </c>
      <c r="J13">
        <v>6.5070205318474104E-3</v>
      </c>
      <c r="K13">
        <v>3.0623218064218399E-2</v>
      </c>
      <c r="L13">
        <v>4.0643938098240899E-2</v>
      </c>
      <c r="M13">
        <v>0</v>
      </c>
      <c r="N13">
        <v>-9.4783565666223799E-4</v>
      </c>
      <c r="O13">
        <v>0</v>
      </c>
      <c r="P13">
        <v>-7.1485207788222101E-3</v>
      </c>
      <c r="Q13">
        <v>-2.8042467224146102E-3</v>
      </c>
      <c r="R13">
        <v>-2.66767452900793E-3</v>
      </c>
      <c r="S13">
        <v>-1.4294821389197999E-2</v>
      </c>
      <c r="T13">
        <v>-7.0418371850735403E-3</v>
      </c>
      <c r="U13">
        <v>-2.2803875892856401E-2</v>
      </c>
      <c r="V13">
        <v>-4.11448413644342E-4</v>
      </c>
      <c r="W13">
        <v>0.27300490883686801</v>
      </c>
      <c r="X13">
        <v>2.93317054991943E-2</v>
      </c>
      <c r="Y13">
        <v>0.24418566712940901</v>
      </c>
      <c r="Z13">
        <v>-0.13509388511533099</v>
      </c>
      <c r="AA13">
        <v>0.228796037006046</v>
      </c>
      <c r="AB13">
        <v>0.31537332934891099</v>
      </c>
      <c r="AC13">
        <v>0.30340153074406301</v>
      </c>
      <c r="AD13">
        <v>0.41249331275814</v>
      </c>
      <c r="AE13">
        <v>-4.8386765552650299E-2</v>
      </c>
    </row>
    <row r="14" spans="1:31" x14ac:dyDescent="0.35">
      <c r="A14" t="s">
        <v>45</v>
      </c>
      <c r="B14" t="s">
        <v>42</v>
      </c>
      <c r="C14">
        <v>0</v>
      </c>
      <c r="D14">
        <v>2.5063031368209299E-2</v>
      </c>
      <c r="E14">
        <v>-0.19788469881148801</v>
      </c>
      <c r="F14">
        <v>-0.108594546287687</v>
      </c>
      <c r="G14">
        <v>2.60357465574721E-3</v>
      </c>
      <c r="H14">
        <v>6.8047063621777107E-2</v>
      </c>
      <c r="I14">
        <v>0.24883676109205699</v>
      </c>
      <c r="J14">
        <v>4.4335969424576004E-3</v>
      </c>
      <c r="K14">
        <v>-0.20350135119849799</v>
      </c>
      <c r="L14">
        <v>4.94236866899661E-2</v>
      </c>
      <c r="M14">
        <v>0</v>
      </c>
      <c r="N14">
        <v>0</v>
      </c>
      <c r="O14">
        <v>0</v>
      </c>
      <c r="P14">
        <v>-7.6631956825140403E-3</v>
      </c>
      <c r="Q14">
        <v>-9.3948558553592703E-5</v>
      </c>
      <c r="R14">
        <v>-2.2399328560741599E-3</v>
      </c>
      <c r="S14">
        <v>-9.8355115133880299E-3</v>
      </c>
      <c r="T14">
        <v>-6.46551279772871E-3</v>
      </c>
      <c r="U14">
        <v>-2.0976970786457501E-2</v>
      </c>
      <c r="V14">
        <v>-3.82465757702634E-4</v>
      </c>
      <c r="W14">
        <v>0.186608335863096</v>
      </c>
      <c r="X14">
        <v>3.1639762071453803E-2</v>
      </c>
      <c r="Y14">
        <v>-5.9218055110206197E-2</v>
      </c>
      <c r="Z14">
        <v>-0.11360361233307199</v>
      </c>
      <c r="AA14">
        <v>0.215496172883615</v>
      </c>
      <c r="AB14">
        <v>1.6937741243205601E-2</v>
      </c>
      <c r="AC14">
        <v>9.2395140608633894E-2</v>
      </c>
      <c r="AD14">
        <v>-8.0426526834644602E-2</v>
      </c>
      <c r="AE14">
        <v>8.8316926535810594E-2</v>
      </c>
    </row>
    <row r="15" spans="1:31" x14ac:dyDescent="0.35">
      <c r="A15" t="s">
        <v>46</v>
      </c>
      <c r="B15" t="s">
        <v>42</v>
      </c>
      <c r="C15">
        <v>0</v>
      </c>
      <c r="D15">
        <v>-3.9419277329213298E-2</v>
      </c>
      <c r="E15">
        <v>-0.18767070266208299</v>
      </c>
      <c r="F15">
        <v>-0.107081655066805</v>
      </c>
      <c r="G15">
        <v>1.5495770924980201E-2</v>
      </c>
      <c r="H15">
        <v>7.7109763755279698E-2</v>
      </c>
      <c r="I15">
        <v>7.6554648901424605E-2</v>
      </c>
      <c r="J15">
        <v>3.7277292757793702E-3</v>
      </c>
      <c r="K15">
        <v>-7.4844166111264293E-2</v>
      </c>
      <c r="L15">
        <v>9.3675739065071095E-3</v>
      </c>
      <c r="M15">
        <v>0</v>
      </c>
      <c r="N15">
        <v>0</v>
      </c>
      <c r="O15">
        <v>0</v>
      </c>
      <c r="P15">
        <v>-6.6907591403234396E-3</v>
      </c>
      <c r="Q15">
        <v>6.0136996133741498E-4</v>
      </c>
      <c r="R15">
        <v>-2.8257296480183498E-3</v>
      </c>
      <c r="S15">
        <v>-6.7070295019788801E-3</v>
      </c>
      <c r="T15">
        <v>-5.76628720574865E-3</v>
      </c>
      <c r="U15">
        <v>-1.9015005404116901E-2</v>
      </c>
      <c r="V15">
        <v>-3.32772769679777E-4</v>
      </c>
      <c r="W15">
        <v>0.16994915028806101</v>
      </c>
      <c r="X15">
        <v>5.6846796386391197E-3</v>
      </c>
      <c r="Y15">
        <v>-7.3368861520993006E-2</v>
      </c>
      <c r="Z15">
        <v>-0.15372111847030301</v>
      </c>
      <c r="AA15">
        <v>6.5908627403758399E-2</v>
      </c>
      <c r="AB15">
        <v>6.9582708343007699E-2</v>
      </c>
      <c r="AC15">
        <v>-4.5576358367527799E-3</v>
      </c>
      <c r="AD15">
        <v>-0.23164761582804899</v>
      </c>
      <c r="AE15">
        <v>-7.2590909590740001E-3</v>
      </c>
    </row>
    <row r="16" spans="1:31" x14ac:dyDescent="0.35">
      <c r="A16" t="s">
        <v>47</v>
      </c>
      <c r="B16" t="s">
        <v>42</v>
      </c>
      <c r="C16">
        <v>0</v>
      </c>
      <c r="D16">
        <v>-0.134754265364598</v>
      </c>
      <c r="E16">
        <v>-0.198482369960888</v>
      </c>
      <c r="F16">
        <v>-8.53676104400794E-2</v>
      </c>
      <c r="G16">
        <v>2.67850730649783E-2</v>
      </c>
      <c r="H16">
        <v>8.2387592923188396E-2</v>
      </c>
      <c r="I16">
        <v>-5.3219630374798398E-2</v>
      </c>
      <c r="J16">
        <v>5.4605074072783004E-3</v>
      </c>
      <c r="K16">
        <v>-2.69397539141716E-2</v>
      </c>
      <c r="L16">
        <v>9.4824810682655695E-3</v>
      </c>
      <c r="M16">
        <v>0</v>
      </c>
      <c r="N16">
        <v>0</v>
      </c>
      <c r="O16">
        <v>0</v>
      </c>
      <c r="P16">
        <v>-5.5662077626494897E-3</v>
      </c>
      <c r="Q16">
        <v>2.3570059463391998E-3</v>
      </c>
      <c r="R16">
        <v>-2.9728776926127998E-4</v>
      </c>
      <c r="S16">
        <v>-3.0653343091065401E-3</v>
      </c>
      <c r="T16">
        <v>-3.2052847720757198E-3</v>
      </c>
      <c r="U16">
        <v>-1.2025895631619E-2</v>
      </c>
      <c r="V16">
        <v>-3.2731495224799399E-4</v>
      </c>
      <c r="W16">
        <v>0.115959358088856</v>
      </c>
      <c r="X16">
        <v>-7.1113242576673098E-3</v>
      </c>
      <c r="Y16">
        <v>-0.19354294611066999</v>
      </c>
      <c r="Z16">
        <v>-0.13969368921481601</v>
      </c>
      <c r="AA16">
        <v>-2.38631014631728E-2</v>
      </c>
      <c r="AB16">
        <v>6.9312195289595604E-2</v>
      </c>
      <c r="AC16">
        <v>-9.4533290833087105E-2</v>
      </c>
      <c r="AD16">
        <v>-0.42776992615857301</v>
      </c>
      <c r="AE16">
        <v>-8.1837689015781201E-2</v>
      </c>
    </row>
    <row r="17" spans="1:31" x14ac:dyDescent="0.35">
      <c r="A17" t="s">
        <v>48</v>
      </c>
      <c r="B17" t="s">
        <v>42</v>
      </c>
      <c r="C17">
        <v>0</v>
      </c>
      <c r="D17">
        <v>-6.4067477393471503E-2</v>
      </c>
      <c r="E17">
        <v>-0.202712782891321</v>
      </c>
      <c r="F17">
        <v>-0.194568075207978</v>
      </c>
      <c r="G17">
        <v>1.8037615083389399E-2</v>
      </c>
      <c r="H17">
        <v>7.4983445819594E-2</v>
      </c>
      <c r="I17">
        <v>-0.20024746248282299</v>
      </c>
      <c r="J17">
        <v>5.53307401008943E-3</v>
      </c>
      <c r="K17">
        <v>-1.17522773604514E-2</v>
      </c>
      <c r="L17">
        <v>1.03984789268344E-2</v>
      </c>
      <c r="M17">
        <v>0</v>
      </c>
      <c r="N17">
        <v>0</v>
      </c>
      <c r="O17">
        <v>0</v>
      </c>
      <c r="P17">
        <v>-2.8424159735486601E-3</v>
      </c>
      <c r="Q17">
        <v>2.95299579862871E-3</v>
      </c>
      <c r="R17">
        <v>-2.9186795967888E-4</v>
      </c>
      <c r="S17">
        <v>-1.36738306873086E-3</v>
      </c>
      <c r="T17">
        <v>-1.8113138233232799E-3</v>
      </c>
      <c r="U17">
        <v>-1.14904795380124E-2</v>
      </c>
      <c r="V17">
        <v>-3.20879541638737E-4</v>
      </c>
      <c r="W17">
        <v>0.107258849208799</v>
      </c>
      <c r="X17">
        <v>-3.9361823659811801E-3</v>
      </c>
      <c r="Y17">
        <v>-0.10882876740007601</v>
      </c>
      <c r="Z17">
        <v>-0.15795149288471599</v>
      </c>
      <c r="AA17">
        <v>-0.29628137951806199</v>
      </c>
      <c r="AB17">
        <v>8.6820849626621899E-2</v>
      </c>
      <c r="AC17">
        <v>-0.24918711070572999</v>
      </c>
      <c r="AD17">
        <v>-0.51596737099052203</v>
      </c>
      <c r="AE17">
        <v>-0.31395285995294703</v>
      </c>
    </row>
    <row r="18" spans="1:31" x14ac:dyDescent="0.35">
      <c r="A18" t="s">
        <v>49</v>
      </c>
      <c r="B18" t="s">
        <v>42</v>
      </c>
      <c r="C18">
        <v>0</v>
      </c>
      <c r="D18">
        <v>-0.110727166879507</v>
      </c>
      <c r="E18">
        <v>-0.19118455586668001</v>
      </c>
      <c r="F18">
        <v>-2.9836760326829598E-2</v>
      </c>
      <c r="G18">
        <v>2.3800282989591699E-2</v>
      </c>
      <c r="H18">
        <v>8.8232618791434694E-2</v>
      </c>
      <c r="I18">
        <v>-0.31115121931629902</v>
      </c>
      <c r="J18">
        <v>4.6304890358173801E-3</v>
      </c>
      <c r="K18">
        <v>-7.3764977580547996E-3</v>
      </c>
      <c r="L18">
        <v>1.0613895333767401E-2</v>
      </c>
      <c r="M18">
        <v>0</v>
      </c>
      <c r="N18">
        <v>0</v>
      </c>
      <c r="O18">
        <v>0</v>
      </c>
      <c r="P18">
        <v>-8.1672553494899301E-4</v>
      </c>
      <c r="Q18">
        <v>2.5172321776731001E-3</v>
      </c>
      <c r="R18">
        <v>-2.8515852447727301E-4</v>
      </c>
      <c r="S18">
        <v>-1.0320556003754499E-3</v>
      </c>
      <c r="T18">
        <v>-1.5233461318852799E-3</v>
      </c>
      <c r="U18">
        <v>-9.5126456296744898E-3</v>
      </c>
      <c r="V18">
        <v>-3.1358356411214999E-4</v>
      </c>
      <c r="W18">
        <v>8.9169655673979206E-2</v>
      </c>
      <c r="X18">
        <v>1.32367143557229E-3</v>
      </c>
      <c r="Y18">
        <v>-0.15456652081357</v>
      </c>
      <c r="Z18">
        <v>-0.14734520193261699</v>
      </c>
      <c r="AA18">
        <v>-0.22402693619192199</v>
      </c>
      <c r="AB18">
        <v>8.2771763762185799E-2</v>
      </c>
      <c r="AC18">
        <v>-0.181057179117255</v>
      </c>
      <c r="AD18">
        <v>-0.48296890186344199</v>
      </c>
      <c r="AE18">
        <v>-0.41458845371014602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78139-CF06-415E-9976-49B2A9154927}">
  <dimension ref="A1:AE18"/>
  <sheetViews>
    <sheetView workbookViewId="0">
      <selection sqref="A1:XFD1"/>
    </sheetView>
  </sheetViews>
  <sheetFormatPr defaultRowHeight="14.5" x14ac:dyDescent="0.35"/>
  <sheetData>
    <row r="1" spans="1:31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B2" t="s">
        <v>32</v>
      </c>
      <c r="C2">
        <v>-1</v>
      </c>
      <c r="D2">
        <v>-0.14802611199999999</v>
      </c>
      <c r="E2">
        <v>0.32935983899999999</v>
      </c>
      <c r="F2">
        <v>0.40168306999999998</v>
      </c>
      <c r="G2">
        <v>0.18603734499999999</v>
      </c>
      <c r="H2">
        <v>-8.2194086999999999E-2</v>
      </c>
      <c r="I2">
        <v>0.235358292</v>
      </c>
      <c r="J2">
        <v>-4.1113772E-2</v>
      </c>
      <c r="K2">
        <v>-0.11030549000000001</v>
      </c>
      <c r="L2">
        <v>-3.9292216999999997E-2</v>
      </c>
      <c r="M2">
        <v>-0.25081207300000002</v>
      </c>
      <c r="N2">
        <v>-0.42408041299999999</v>
      </c>
      <c r="O2">
        <v>-0.28390642300000002</v>
      </c>
      <c r="P2">
        <v>2.0948001000000001E-2</v>
      </c>
      <c r="Q2">
        <v>-0.363730954</v>
      </c>
      <c r="R2">
        <v>5.0505999999999999E-4</v>
      </c>
      <c r="S2">
        <v>-4.1864783000000003E-2</v>
      </c>
      <c r="T2">
        <v>-9.6126641999999998E-2</v>
      </c>
      <c r="U2">
        <v>-8.0992849999999995E-3</v>
      </c>
      <c r="V2">
        <v>-8.9153300000000002E-4</v>
      </c>
      <c r="W2">
        <v>0.17103649000000001</v>
      </c>
      <c r="X2">
        <v>0.10677014</v>
      </c>
      <c r="Y2">
        <v>-0.23313551099999999</v>
      </c>
      <c r="Z2">
        <v>0.41446923899999999</v>
      </c>
      <c r="AA2">
        <v>0.69855453000000001</v>
      </c>
      <c r="AB2">
        <v>-1.3262927849999999</v>
      </c>
      <c r="AC2">
        <v>-0.61796280599999998</v>
      </c>
      <c r="AD2">
        <v>-0.436629078</v>
      </c>
      <c r="AE2">
        <v>-0.83627524600000003</v>
      </c>
    </row>
    <row r="3" spans="1:31" x14ac:dyDescent="0.35">
      <c r="A3" t="s">
        <v>33</v>
      </c>
      <c r="B3" t="s">
        <v>32</v>
      </c>
      <c r="C3">
        <v>-1</v>
      </c>
      <c r="D3">
        <v>0.29138772699999999</v>
      </c>
      <c r="E3">
        <v>0.20751042</v>
      </c>
      <c r="F3">
        <v>0.11335745699999999</v>
      </c>
      <c r="G3">
        <v>9.7716048999999999E-2</v>
      </c>
      <c r="H3">
        <v>-5.9153209999999998E-2</v>
      </c>
      <c r="I3">
        <v>0.231027805</v>
      </c>
      <c r="J3">
        <v>-3.3405652000000001E-2</v>
      </c>
      <c r="K3">
        <v>-3.5337896000000001E-2</v>
      </c>
      <c r="L3">
        <v>-9.7526156000000003E-2</v>
      </c>
      <c r="M3">
        <v>-3.3451247000000003E-2</v>
      </c>
      <c r="N3">
        <v>-7.7388780000000002E-3</v>
      </c>
      <c r="O3">
        <v>-0.130517366</v>
      </c>
      <c r="P3">
        <v>4.4718452999999998E-2</v>
      </c>
      <c r="Q3">
        <v>-0.37795184900000001</v>
      </c>
      <c r="R3">
        <v>5.9502700000000003E-4</v>
      </c>
      <c r="S3">
        <v>-2.6783451E-2</v>
      </c>
      <c r="T3">
        <v>-9.6213710999999993E-2</v>
      </c>
      <c r="U3">
        <v>-0.137972712</v>
      </c>
      <c r="V3" s="2">
        <v>-6.5844200000000002E-5</v>
      </c>
      <c r="W3">
        <v>-8.0930365000000004E-2</v>
      </c>
      <c r="X3">
        <v>0.24636772200000001</v>
      </c>
      <c r="Y3">
        <v>-0.13834317700000001</v>
      </c>
      <c r="Z3">
        <v>0.63724132499999997</v>
      </c>
      <c r="AA3">
        <v>0.349324044</v>
      </c>
      <c r="AB3">
        <v>-0.73419659800000003</v>
      </c>
      <c r="AC3">
        <v>-0.38219863500000001</v>
      </c>
      <c r="AD3">
        <v>0.11669951200000001</v>
      </c>
      <c r="AE3">
        <v>-0.20616335499999999</v>
      </c>
    </row>
    <row r="4" spans="1:31" x14ac:dyDescent="0.35">
      <c r="A4" t="s">
        <v>34</v>
      </c>
      <c r="B4" t="s">
        <v>32</v>
      </c>
      <c r="C4">
        <v>-1</v>
      </c>
      <c r="D4">
        <v>7.0409519000000004E-2</v>
      </c>
      <c r="E4">
        <v>0.33456314599999998</v>
      </c>
      <c r="F4">
        <v>8.4390722000000001E-2</v>
      </c>
      <c r="G4">
        <v>5.2044238E-2</v>
      </c>
      <c r="H4">
        <v>-7.1699905999999994E-2</v>
      </c>
      <c r="I4">
        <v>8.2750406999999998E-2</v>
      </c>
      <c r="J4">
        <v>-3.7624013999999997E-2</v>
      </c>
      <c r="K4">
        <v>-0.201197653</v>
      </c>
      <c r="L4">
        <v>-0.252488926</v>
      </c>
      <c r="M4">
        <v>0</v>
      </c>
      <c r="N4">
        <v>-6.225487E-3</v>
      </c>
      <c r="O4">
        <v>-7.4273919999999997E-3</v>
      </c>
      <c r="P4">
        <v>2.5176576999999999E-2</v>
      </c>
      <c r="Q4">
        <v>-0.16467395000000001</v>
      </c>
      <c r="R4">
        <v>-5.710138E-3</v>
      </c>
      <c r="S4">
        <v>-2.6574550999999998E-2</v>
      </c>
      <c r="T4">
        <v>-9.6631639000000005E-2</v>
      </c>
      <c r="U4">
        <v>-0.112668281</v>
      </c>
      <c r="V4" s="2">
        <v>-4.6437499999999997E-5</v>
      </c>
      <c r="W4">
        <v>5.7480661000000002E-2</v>
      </c>
      <c r="X4">
        <v>7.3497892999999995E-2</v>
      </c>
      <c r="Y4">
        <v>0.28189703900000002</v>
      </c>
      <c r="Z4">
        <v>0.12307562599999999</v>
      </c>
      <c r="AA4">
        <v>0.109920446</v>
      </c>
      <c r="AB4">
        <v>-0.71934747799999998</v>
      </c>
      <c r="AC4">
        <v>-0.60859101500000001</v>
      </c>
      <c r="AD4">
        <v>-0.20361835</v>
      </c>
      <c r="AE4">
        <v>-0.15496258900000001</v>
      </c>
    </row>
    <row r="5" spans="1:31" x14ac:dyDescent="0.35">
      <c r="A5" t="s">
        <v>35</v>
      </c>
      <c r="B5" t="s">
        <v>32</v>
      </c>
      <c r="C5">
        <v>-1</v>
      </c>
      <c r="D5">
        <v>-9.5656905E-2</v>
      </c>
      <c r="E5">
        <v>9.6940856000000006E-2</v>
      </c>
      <c r="F5">
        <v>0.490028572</v>
      </c>
      <c r="G5">
        <v>0.20839113500000001</v>
      </c>
      <c r="H5">
        <v>-6.0391934000000001E-2</v>
      </c>
      <c r="I5">
        <v>0.12732300799999999</v>
      </c>
      <c r="J5">
        <v>-3.1435769000000002E-2</v>
      </c>
      <c r="K5">
        <v>-1.5431334E-2</v>
      </c>
      <c r="L5">
        <v>-2.4236114999999999E-2</v>
      </c>
      <c r="M5">
        <v>0</v>
      </c>
      <c r="N5">
        <v>-0.11167711700000001</v>
      </c>
      <c r="O5">
        <v>-1.4130480000000001E-3</v>
      </c>
      <c r="P5">
        <v>1.4852718000000001E-2</v>
      </c>
      <c r="Q5">
        <v>-0.147876796</v>
      </c>
      <c r="R5">
        <v>-6.533456E-3</v>
      </c>
      <c r="S5">
        <v>-3.7491898000000003E-2</v>
      </c>
      <c r="T5">
        <v>-6.3307767000000001E-2</v>
      </c>
      <c r="U5">
        <v>-0.104470891</v>
      </c>
      <c r="V5">
        <v>-5.8359600000000003E-4</v>
      </c>
      <c r="W5">
        <v>-0.13918165299999999</v>
      </c>
      <c r="X5">
        <v>0.130555317</v>
      </c>
      <c r="Y5">
        <v>-0.14198756200000001</v>
      </c>
      <c r="Z5">
        <v>0.14327151199999999</v>
      </c>
      <c r="AA5">
        <v>0.73267847799999997</v>
      </c>
      <c r="AB5">
        <v>-0.50768403699999998</v>
      </c>
      <c r="AC5">
        <v>0.22891710200000001</v>
      </c>
      <c r="AD5">
        <v>0.23020105299999999</v>
      </c>
      <c r="AE5">
        <v>-7.3336715999999996E-2</v>
      </c>
    </row>
    <row r="6" spans="1:31" x14ac:dyDescent="0.35">
      <c r="A6" t="s">
        <v>36</v>
      </c>
      <c r="B6" t="s">
        <v>32</v>
      </c>
      <c r="C6">
        <v>-1</v>
      </c>
      <c r="D6">
        <v>0.123478644</v>
      </c>
      <c r="E6">
        <v>5.1398582999999998E-2</v>
      </c>
      <c r="F6">
        <v>0.35063463900000003</v>
      </c>
      <c r="G6">
        <v>0.18132833300000001</v>
      </c>
      <c r="H6">
        <v>-4.6919376999999998E-2</v>
      </c>
      <c r="I6">
        <v>9.4528727000000007E-2</v>
      </c>
      <c r="J6">
        <v>-2.2967964E-2</v>
      </c>
      <c r="K6">
        <v>0.17944505399999999</v>
      </c>
      <c r="L6">
        <v>2.0341748999999999E-2</v>
      </c>
      <c r="M6">
        <v>0</v>
      </c>
      <c r="N6">
        <v>-0.104667995</v>
      </c>
      <c r="O6">
        <v>-6.7198799999999999E-4</v>
      </c>
      <c r="P6">
        <v>1.260551E-2</v>
      </c>
      <c r="Q6">
        <v>-0.34619775600000002</v>
      </c>
      <c r="R6">
        <v>-1.6772232000000002E-2</v>
      </c>
      <c r="S6">
        <v>-3.5908571E-2</v>
      </c>
      <c r="T6">
        <v>-5.0238210999999998E-2</v>
      </c>
      <c r="U6">
        <v>-9.6103417999999996E-2</v>
      </c>
      <c r="V6">
        <v>-2.161961E-3</v>
      </c>
      <c r="W6">
        <v>-0.107986611</v>
      </c>
      <c r="X6">
        <v>0.112651604</v>
      </c>
      <c r="Y6">
        <v>0.19183196199999999</v>
      </c>
      <c r="Z6">
        <v>-1.6954734999999999E-2</v>
      </c>
      <c r="AA6">
        <v>0.555864154</v>
      </c>
      <c r="AB6">
        <v>-0.43560311200000001</v>
      </c>
      <c r="AC6">
        <v>0.122777318</v>
      </c>
      <c r="AD6">
        <v>0.29765454499999999</v>
      </c>
      <c r="AE6">
        <v>0.11023419</v>
      </c>
    </row>
    <row r="7" spans="1:31" x14ac:dyDescent="0.35">
      <c r="A7" t="s">
        <v>37</v>
      </c>
      <c r="B7" t="s">
        <v>32</v>
      </c>
      <c r="C7">
        <v>-1</v>
      </c>
      <c r="D7">
        <v>0.40650570400000002</v>
      </c>
      <c r="E7">
        <v>0.136691699</v>
      </c>
      <c r="F7">
        <v>0.26769889299999999</v>
      </c>
      <c r="G7">
        <v>2.1497720000000001E-2</v>
      </c>
      <c r="H7">
        <v>-4.3703024E-2</v>
      </c>
      <c r="I7">
        <v>-9.5365599999999995E-2</v>
      </c>
      <c r="J7">
        <v>-1.2505799E-2</v>
      </c>
      <c r="K7">
        <v>0.26285186199999999</v>
      </c>
      <c r="L7">
        <v>4.9653198000000003E-2</v>
      </c>
      <c r="M7">
        <v>0</v>
      </c>
      <c r="N7">
        <v>-0.10040557899999999</v>
      </c>
      <c r="O7">
        <v>-3.3408500000000002E-4</v>
      </c>
      <c r="P7">
        <v>1.0455964E-2</v>
      </c>
      <c r="Q7">
        <v>-0.30976776499999997</v>
      </c>
      <c r="R7">
        <v>-6.6690089999999994E-2</v>
      </c>
      <c r="S7">
        <v>-3.4038326000000001E-2</v>
      </c>
      <c r="T7">
        <v>-4.3936534999999999E-2</v>
      </c>
      <c r="U7">
        <v>-5.5729673E-2</v>
      </c>
      <c r="V7" s="2">
        <v>-4.4268499999999998E-5</v>
      </c>
      <c r="W7">
        <v>0.20674711800000001</v>
      </c>
      <c r="X7">
        <v>4.4619556999999997E-2</v>
      </c>
      <c r="Y7">
        <v>0.63577579399999995</v>
      </c>
      <c r="Z7">
        <v>-9.2578391999999995E-2</v>
      </c>
      <c r="AA7">
        <v>0.137959102</v>
      </c>
      <c r="AB7">
        <v>-3.5405605E-2</v>
      </c>
      <c r="AC7">
        <v>0.102604629</v>
      </c>
      <c r="AD7">
        <v>0.645802031</v>
      </c>
      <c r="AE7">
        <v>0.24250981999999999</v>
      </c>
    </row>
    <row r="8" spans="1:31" x14ac:dyDescent="0.35">
      <c r="A8" t="s">
        <v>38</v>
      </c>
      <c r="B8" t="s">
        <v>32</v>
      </c>
      <c r="C8">
        <v>-1</v>
      </c>
      <c r="D8">
        <v>0.133873782</v>
      </c>
      <c r="E8">
        <v>4.0840031999999998E-2</v>
      </c>
      <c r="F8">
        <v>0.26578106400000001</v>
      </c>
      <c r="G8">
        <v>2.9094859000000001E-2</v>
      </c>
      <c r="H8">
        <v>-3.4339266E-2</v>
      </c>
      <c r="I8">
        <v>-0.13372901000000001</v>
      </c>
      <c r="J8">
        <v>1.1369010000000001E-2</v>
      </c>
      <c r="K8">
        <v>0.27225397099999998</v>
      </c>
      <c r="L8">
        <v>1.6960520999999999E-2</v>
      </c>
      <c r="M8">
        <v>0</v>
      </c>
      <c r="N8">
        <v>-0.10036426699999999</v>
      </c>
      <c r="O8">
        <v>-1.7257199999999999E-4</v>
      </c>
      <c r="P8">
        <v>5.7762569999999999E-3</v>
      </c>
      <c r="Q8">
        <v>-0.15458604500000001</v>
      </c>
      <c r="R8">
        <v>-2.9046972000000001E-2</v>
      </c>
      <c r="S8">
        <v>-2.2294995000000001E-2</v>
      </c>
      <c r="T8">
        <v>-2.6522515999999999E-2</v>
      </c>
      <c r="U8">
        <v>-3.0672088E-2</v>
      </c>
      <c r="V8" s="2">
        <v>-5.5553400000000002E-5</v>
      </c>
      <c r="W8">
        <v>0.149981156</v>
      </c>
      <c r="X8">
        <v>0.15091666300000001</v>
      </c>
      <c r="Y8">
        <v>0.15254837600000001</v>
      </c>
      <c r="Z8">
        <v>2.2165437999999999E-2</v>
      </c>
      <c r="AA8">
        <v>0.13854798199999999</v>
      </c>
      <c r="AB8">
        <v>0.232705672</v>
      </c>
      <c r="AC8">
        <v>0.370918998</v>
      </c>
      <c r="AD8">
        <v>0.54563281299999999</v>
      </c>
      <c r="AE8">
        <v>0.42982260999999999</v>
      </c>
    </row>
    <row r="9" spans="1:31" x14ac:dyDescent="0.35">
      <c r="A9" t="s">
        <v>39</v>
      </c>
      <c r="B9" t="s">
        <v>32</v>
      </c>
      <c r="C9">
        <v>-1</v>
      </c>
      <c r="D9">
        <v>-0.51945344199999999</v>
      </c>
      <c r="E9">
        <v>-3.6329068999999999E-2</v>
      </c>
      <c r="F9">
        <v>-6.8923507999999994E-2</v>
      </c>
      <c r="G9">
        <v>4.5824279000000002E-2</v>
      </c>
      <c r="H9">
        <v>-4.2648199999999999E-3</v>
      </c>
      <c r="I9">
        <v>2.48513E-2</v>
      </c>
      <c r="J9">
        <v>1.3575617999999999E-2</v>
      </c>
      <c r="K9">
        <v>0.18178302199999999</v>
      </c>
      <c r="L9">
        <v>-8.9342829999999995E-3</v>
      </c>
      <c r="M9">
        <v>0</v>
      </c>
      <c r="N9">
        <v>-9.6865949000000007E-2</v>
      </c>
      <c r="O9">
        <v>0</v>
      </c>
      <c r="P9">
        <v>4.4613399999999999E-4</v>
      </c>
      <c r="Q9">
        <v>-7.3745275999999998E-2</v>
      </c>
      <c r="R9">
        <v>-2.8114584000000001E-2</v>
      </c>
      <c r="S9">
        <v>-1.4963858999999999E-2</v>
      </c>
      <c r="T9">
        <v>-1.0608242E-2</v>
      </c>
      <c r="U9">
        <v>-3.0099483E-2</v>
      </c>
      <c r="V9">
        <v>-3.02174E-4</v>
      </c>
      <c r="W9">
        <v>0.103999771</v>
      </c>
      <c r="X9">
        <v>2.6126069999999999E-3</v>
      </c>
      <c r="Y9">
        <v>-1.169951328</v>
      </c>
      <c r="Z9">
        <v>0.61416881700000003</v>
      </c>
      <c r="AA9">
        <v>1.1102717E-2</v>
      </c>
      <c r="AB9">
        <v>2.5525592999999999E-2</v>
      </c>
      <c r="AC9">
        <v>3.6625316999999998E-2</v>
      </c>
      <c r="AD9">
        <v>-0.51915719400000004</v>
      </c>
      <c r="AE9">
        <v>0.24248304900000001</v>
      </c>
    </row>
    <row r="10" spans="1:31" x14ac:dyDescent="0.35">
      <c r="A10" t="s">
        <v>40</v>
      </c>
      <c r="B10" t="s">
        <v>32</v>
      </c>
      <c r="C10">
        <v>-1</v>
      </c>
      <c r="D10">
        <v>-0.49659070799999999</v>
      </c>
      <c r="E10">
        <v>9.0506588999999998E-2</v>
      </c>
      <c r="F10">
        <v>-0.49360351600000002</v>
      </c>
      <c r="G10">
        <v>-3.9331911999999997E-2</v>
      </c>
      <c r="H10">
        <v>-2.1599014999999999E-2</v>
      </c>
      <c r="I10">
        <v>0.18716919900000001</v>
      </c>
      <c r="J10">
        <v>1.923339E-3</v>
      </c>
      <c r="K10">
        <v>0.46724310899999999</v>
      </c>
      <c r="L10">
        <v>-1.4502786E-2</v>
      </c>
      <c r="M10">
        <v>0</v>
      </c>
      <c r="N10">
        <v>-9.4949895000000006E-2</v>
      </c>
      <c r="O10">
        <v>0</v>
      </c>
      <c r="P10">
        <v>1.8247770000000001E-3</v>
      </c>
      <c r="Q10">
        <v>-9.4999199000000006E-2</v>
      </c>
      <c r="R10">
        <v>-2.673731E-2</v>
      </c>
      <c r="S10">
        <v>-1.3483429E-2</v>
      </c>
      <c r="T10">
        <v>-1.0020828000000001E-2</v>
      </c>
      <c r="U10">
        <v>-2.3738219000000001E-2</v>
      </c>
      <c r="V10">
        <v>-1.038045E-3</v>
      </c>
      <c r="W10">
        <v>0.28501646000000003</v>
      </c>
      <c r="X10">
        <v>-2.9952741000000001E-2</v>
      </c>
      <c r="Y10">
        <v>-0.94596316700000005</v>
      </c>
      <c r="Z10">
        <v>0.53987904900000006</v>
      </c>
      <c r="AA10">
        <v>-0.36467108300000001</v>
      </c>
      <c r="AB10">
        <v>0.44530218100000002</v>
      </c>
      <c r="AC10">
        <v>-0.21766770899999999</v>
      </c>
      <c r="AD10">
        <v>-0.62375182799999995</v>
      </c>
      <c r="AE10">
        <v>1.2131454999999999E-2</v>
      </c>
    </row>
    <row r="11" spans="1:31" x14ac:dyDescent="0.35">
      <c r="A11" t="s">
        <v>41</v>
      </c>
      <c r="B11" t="s">
        <v>42</v>
      </c>
      <c r="C11">
        <v>0</v>
      </c>
      <c r="D11">
        <v>-0.100219339</v>
      </c>
      <c r="E11">
        <v>-0.188957509</v>
      </c>
      <c r="F11">
        <v>-0.225617648</v>
      </c>
      <c r="G11">
        <v>3.1964415000000003E-2</v>
      </c>
      <c r="H11">
        <v>0.186089264</v>
      </c>
      <c r="I11">
        <v>0.18199766000000001</v>
      </c>
      <c r="J11">
        <v>6.9886569999999997E-3</v>
      </c>
      <c r="K11">
        <v>0.237483789</v>
      </c>
      <c r="L11">
        <v>-2.44095E-4</v>
      </c>
      <c r="M11">
        <v>0</v>
      </c>
      <c r="N11">
        <v>-9.9896100000000003E-4</v>
      </c>
      <c r="O11">
        <v>0</v>
      </c>
      <c r="P11">
        <v>-8.3673710000000002E-3</v>
      </c>
      <c r="Q11">
        <v>-7.4626503999999996E-2</v>
      </c>
      <c r="R11">
        <v>-2.6048206000000001E-2</v>
      </c>
      <c r="S11">
        <v>-1.3810384E-2</v>
      </c>
      <c r="T11">
        <v>-8.5423389999999995E-3</v>
      </c>
      <c r="U11">
        <v>-2.9638323000000001E-2</v>
      </c>
      <c r="V11">
        <v>-5.2655400000000004E-4</v>
      </c>
      <c r="W11">
        <v>0.224500594</v>
      </c>
      <c r="X11">
        <v>1.9343240000000001E-3</v>
      </c>
      <c r="Y11">
        <v>-0.152548554</v>
      </c>
      <c r="Z11">
        <v>-0.13662829400000001</v>
      </c>
      <c r="AA11">
        <v>0.18188015799999999</v>
      </c>
      <c r="AB11">
        <v>0.30124015700000001</v>
      </c>
      <c r="AC11">
        <v>0.18254056699999999</v>
      </c>
      <c r="AD11">
        <v>-0.106636281</v>
      </c>
      <c r="AE11">
        <v>-0.17597812299999999</v>
      </c>
    </row>
    <row r="12" spans="1:31" x14ac:dyDescent="0.35">
      <c r="A12" t="s">
        <v>43</v>
      </c>
      <c r="B12" t="s">
        <v>42</v>
      </c>
      <c r="C12">
        <v>0</v>
      </c>
      <c r="D12">
        <v>-9.1487922999999999E-2</v>
      </c>
      <c r="E12">
        <v>-0.18797857000000001</v>
      </c>
      <c r="F12">
        <v>-0.18376482299999999</v>
      </c>
      <c r="G12">
        <v>1.2855036E-2</v>
      </c>
      <c r="H12">
        <v>6.6279738000000005E-2</v>
      </c>
      <c r="I12">
        <v>7.1097532000000005E-2</v>
      </c>
      <c r="J12">
        <v>9.6981949999999997E-3</v>
      </c>
      <c r="K12">
        <v>0.153905029</v>
      </c>
      <c r="L12">
        <v>2.6815537E-2</v>
      </c>
      <c r="M12">
        <v>0</v>
      </c>
      <c r="N12">
        <v>-9.7192299999999997E-4</v>
      </c>
      <c r="O12">
        <v>0</v>
      </c>
      <c r="P12">
        <v>-7.7753450000000003E-3</v>
      </c>
      <c r="Q12">
        <v>-3.6283496999999998E-2</v>
      </c>
      <c r="R12">
        <v>-3.9026379999999999E-3</v>
      </c>
      <c r="S12">
        <v>-1.2854849E-2</v>
      </c>
      <c r="T12">
        <v>-7.6754750000000002E-3</v>
      </c>
      <c r="U12">
        <v>-2.4548492000000002E-2</v>
      </c>
      <c r="V12">
        <v>-4.4546800000000002E-4</v>
      </c>
      <c r="W12">
        <v>0.229470804</v>
      </c>
      <c r="X12">
        <v>2.0152618000000001E-2</v>
      </c>
      <c r="Y12">
        <v>-0.19583735399999999</v>
      </c>
      <c r="Z12">
        <v>-8.3629139000000005E-2</v>
      </c>
      <c r="AA12">
        <v>-2.3607275E-2</v>
      </c>
      <c r="AB12">
        <v>0.33571050699999999</v>
      </c>
      <c r="AC12">
        <v>1.2187218E-2</v>
      </c>
      <c r="AD12">
        <v>-0.26727927499999998</v>
      </c>
      <c r="AE12">
        <v>-0.37920614400000002</v>
      </c>
    </row>
    <row r="13" spans="1:31" x14ac:dyDescent="0.35">
      <c r="A13" t="s">
        <v>44</v>
      </c>
      <c r="B13" t="s">
        <v>42</v>
      </c>
      <c r="C13">
        <v>0</v>
      </c>
      <c r="D13">
        <v>9.4960717E-2</v>
      </c>
      <c r="E13">
        <v>-0.18679326700000001</v>
      </c>
      <c r="F13">
        <v>-0.15788908700000001</v>
      </c>
      <c r="G13">
        <v>-5.1752530000000003E-3</v>
      </c>
      <c r="H13">
        <v>6.3847021000000004E-2</v>
      </c>
      <c r="I13">
        <v>0.31388232999999999</v>
      </c>
      <c r="J13">
        <v>6.507021E-3</v>
      </c>
      <c r="K13">
        <v>3.0623218000000001E-2</v>
      </c>
      <c r="L13">
        <v>4.0643937999999998E-2</v>
      </c>
      <c r="M13">
        <v>0</v>
      </c>
      <c r="N13">
        <v>-9.4783599999999997E-4</v>
      </c>
      <c r="O13">
        <v>0</v>
      </c>
      <c r="P13">
        <v>-7.1485209999999997E-3</v>
      </c>
      <c r="Q13">
        <v>-2.8042470000000002E-3</v>
      </c>
      <c r="R13">
        <v>-2.667675E-3</v>
      </c>
      <c r="S13">
        <v>-1.4294820999999999E-2</v>
      </c>
      <c r="T13">
        <v>-7.0418369999999996E-3</v>
      </c>
      <c r="U13">
        <v>-2.2803876000000001E-2</v>
      </c>
      <c r="V13">
        <v>-4.1144800000000002E-4</v>
      </c>
      <c r="W13">
        <v>0.27300490900000002</v>
      </c>
      <c r="X13">
        <v>2.9331705E-2</v>
      </c>
      <c r="Y13">
        <v>4.3261334999999998E-2</v>
      </c>
      <c r="Z13">
        <v>-0.135093885</v>
      </c>
      <c r="AA13">
        <v>0.22158999300000001</v>
      </c>
      <c r="AB13">
        <v>0.31537332899999998</v>
      </c>
      <c r="AC13">
        <v>0.29621967999999999</v>
      </c>
      <c r="AD13">
        <v>0.20438713</v>
      </c>
      <c r="AE13">
        <v>-0.19832006299999999</v>
      </c>
    </row>
    <row r="14" spans="1:31" x14ac:dyDescent="0.35">
      <c r="A14" t="s">
        <v>45</v>
      </c>
      <c r="B14" t="s">
        <v>42</v>
      </c>
      <c r="C14">
        <v>0</v>
      </c>
      <c r="D14">
        <v>-0.10034773700000001</v>
      </c>
      <c r="E14">
        <v>-0.197884699</v>
      </c>
      <c r="F14">
        <v>-0.108594546</v>
      </c>
      <c r="G14">
        <v>2.6035749999999999E-3</v>
      </c>
      <c r="H14">
        <v>6.1497509999999998E-2</v>
      </c>
      <c r="I14">
        <v>0.24883676099999999</v>
      </c>
      <c r="J14">
        <v>4.4335970000000001E-3</v>
      </c>
      <c r="K14">
        <v>-0.203501351</v>
      </c>
      <c r="L14">
        <v>4.9423687000000001E-2</v>
      </c>
      <c r="M14">
        <v>0</v>
      </c>
      <c r="N14">
        <v>0</v>
      </c>
      <c r="O14">
        <v>0</v>
      </c>
      <c r="P14">
        <v>-7.6631959999999997E-3</v>
      </c>
      <c r="Q14" s="2">
        <v>-9.3948600000000004E-5</v>
      </c>
      <c r="R14">
        <v>-2.2399329999999999E-3</v>
      </c>
      <c r="S14">
        <v>-9.8355119999999994E-3</v>
      </c>
      <c r="T14">
        <v>-6.465513E-3</v>
      </c>
      <c r="U14">
        <v>-2.0976971000000001E-2</v>
      </c>
      <c r="V14">
        <v>-3.8246599999999998E-4</v>
      </c>
      <c r="W14">
        <v>0.18660833600000001</v>
      </c>
      <c r="X14">
        <v>3.1639762000000002E-2</v>
      </c>
      <c r="Y14">
        <v>-0.184628823</v>
      </c>
      <c r="Z14">
        <v>-0.11360361200000001</v>
      </c>
      <c r="AA14">
        <v>0.20895688600000001</v>
      </c>
      <c r="AB14">
        <v>1.6937740999999999E-2</v>
      </c>
      <c r="AC14">
        <v>8.5857031E-2</v>
      </c>
      <c r="AD14">
        <v>-0.21237540499999999</v>
      </c>
      <c r="AE14">
        <v>-9.5475958E-2</v>
      </c>
    </row>
    <row r="15" spans="1:31" x14ac:dyDescent="0.35">
      <c r="A15" t="s">
        <v>46</v>
      </c>
      <c r="B15" t="s">
        <v>42</v>
      </c>
      <c r="C15">
        <v>0</v>
      </c>
      <c r="D15">
        <v>-0.10944857700000001</v>
      </c>
      <c r="E15">
        <v>-0.18767070299999999</v>
      </c>
      <c r="F15">
        <v>-0.107081655</v>
      </c>
      <c r="G15">
        <v>1.5495771E-2</v>
      </c>
      <c r="H15">
        <v>6.6582367000000003E-2</v>
      </c>
      <c r="I15">
        <v>7.6554649000000002E-2</v>
      </c>
      <c r="J15">
        <v>3.7277289999999999E-3</v>
      </c>
      <c r="K15">
        <v>-7.4844166000000004E-2</v>
      </c>
      <c r="L15">
        <v>9.367574E-3</v>
      </c>
      <c r="M15">
        <v>0</v>
      </c>
      <c r="N15">
        <v>0</v>
      </c>
      <c r="O15">
        <v>0</v>
      </c>
      <c r="P15">
        <v>-6.6907590000000001E-3</v>
      </c>
      <c r="Q15">
        <v>6.0137000000000005E-4</v>
      </c>
      <c r="R15">
        <v>-2.8257299999999998E-3</v>
      </c>
      <c r="S15">
        <v>-6.7070300000000001E-3</v>
      </c>
      <c r="T15">
        <v>-5.7662870000000001E-3</v>
      </c>
      <c r="U15">
        <v>-1.9015005000000001E-2</v>
      </c>
      <c r="V15">
        <v>-3.3277300000000002E-4</v>
      </c>
      <c r="W15">
        <v>0.16994914999999999</v>
      </c>
      <c r="X15">
        <v>5.6846800000000001E-3</v>
      </c>
      <c r="Y15">
        <v>-0.143398162</v>
      </c>
      <c r="Z15">
        <v>-0.15372111799999999</v>
      </c>
      <c r="AA15">
        <v>5.5379970000000001E-2</v>
      </c>
      <c r="AB15">
        <v>6.9582707999999993E-2</v>
      </c>
      <c r="AC15">
        <v>-1.5078469000000001E-2</v>
      </c>
      <c r="AD15">
        <v>-0.31219774900000002</v>
      </c>
      <c r="AE15">
        <v>-0.14686632499999999</v>
      </c>
    </row>
    <row r="16" spans="1:31" x14ac:dyDescent="0.35">
      <c r="A16" t="s">
        <v>47</v>
      </c>
      <c r="B16" t="s">
        <v>42</v>
      </c>
      <c r="C16">
        <v>0</v>
      </c>
      <c r="D16">
        <v>-0.12831973899999999</v>
      </c>
      <c r="E16">
        <v>-0.19848236999999999</v>
      </c>
      <c r="F16">
        <v>-8.5367609999999997E-2</v>
      </c>
      <c r="G16">
        <v>2.6785073E-2</v>
      </c>
      <c r="H16">
        <v>7.2636522999999995E-2</v>
      </c>
      <c r="I16">
        <v>-5.3219629999999997E-2</v>
      </c>
      <c r="J16">
        <v>5.4605069999999999E-3</v>
      </c>
      <c r="K16">
        <v>-2.6939754E-2</v>
      </c>
      <c r="L16">
        <v>9.4824809999999992E-3</v>
      </c>
      <c r="M16">
        <v>0</v>
      </c>
      <c r="N16">
        <v>0</v>
      </c>
      <c r="O16">
        <v>0</v>
      </c>
      <c r="P16">
        <v>-5.5662079999999996E-3</v>
      </c>
      <c r="Q16">
        <v>2.357006E-3</v>
      </c>
      <c r="R16">
        <v>-2.9728799999999999E-4</v>
      </c>
      <c r="S16">
        <v>-3.0653339999999999E-3</v>
      </c>
      <c r="T16">
        <v>-3.205285E-3</v>
      </c>
      <c r="U16">
        <v>-1.2025895999999999E-2</v>
      </c>
      <c r="V16">
        <v>-3.2731500000000001E-4</v>
      </c>
      <c r="W16">
        <v>0.115959358</v>
      </c>
      <c r="X16">
        <v>-7.1113239999999996E-3</v>
      </c>
      <c r="Y16">
        <v>-0.18710842</v>
      </c>
      <c r="Z16">
        <v>-0.13969368900000001</v>
      </c>
      <c r="AA16">
        <v>-3.3625215999999999E-2</v>
      </c>
      <c r="AB16">
        <v>6.9312194999999993E-2</v>
      </c>
      <c r="AC16">
        <v>-0.104288199</v>
      </c>
      <c r="AD16">
        <v>-0.431090309</v>
      </c>
      <c r="AE16">
        <v>-0.187819083</v>
      </c>
    </row>
    <row r="17" spans="1:31" x14ac:dyDescent="0.35">
      <c r="A17" t="s">
        <v>48</v>
      </c>
      <c r="B17" t="s">
        <v>42</v>
      </c>
      <c r="C17">
        <v>0</v>
      </c>
      <c r="D17">
        <v>-5.5391694999999998E-2</v>
      </c>
      <c r="E17">
        <v>-0.20271278300000001</v>
      </c>
      <c r="F17">
        <v>-0.19456807500000001</v>
      </c>
      <c r="G17">
        <v>1.8037615E-2</v>
      </c>
      <c r="H17">
        <v>8.0056236000000003E-2</v>
      </c>
      <c r="I17">
        <v>-0.20024746199999999</v>
      </c>
      <c r="J17">
        <v>5.5330739999999998E-3</v>
      </c>
      <c r="K17">
        <v>-1.1752277E-2</v>
      </c>
      <c r="L17">
        <v>1.0398479E-2</v>
      </c>
      <c r="M17">
        <v>0</v>
      </c>
      <c r="N17">
        <v>0</v>
      </c>
      <c r="O17">
        <v>0</v>
      </c>
      <c r="P17">
        <v>-2.842416E-3</v>
      </c>
      <c r="Q17">
        <v>2.9529959999999998E-3</v>
      </c>
      <c r="R17">
        <v>-2.9186799999999998E-4</v>
      </c>
      <c r="S17">
        <v>-1.367383E-3</v>
      </c>
      <c r="T17">
        <v>-1.8113140000000001E-3</v>
      </c>
      <c r="U17">
        <v>-1.1490480000000001E-2</v>
      </c>
      <c r="V17">
        <v>-3.2088E-4</v>
      </c>
      <c r="W17">
        <v>0.107258849</v>
      </c>
      <c r="X17">
        <v>-3.9361819999999999E-3</v>
      </c>
      <c r="Y17">
        <v>-0.100152985</v>
      </c>
      <c r="Z17">
        <v>-0.157951493</v>
      </c>
      <c r="AA17">
        <v>-0.29118855500000002</v>
      </c>
      <c r="AB17">
        <v>8.6820850000000005E-2</v>
      </c>
      <c r="AC17">
        <v>-0.24409898399999999</v>
      </c>
      <c r="AD17">
        <v>-0.50220346199999999</v>
      </c>
      <c r="AE17">
        <v>-0.36446673099999999</v>
      </c>
    </row>
    <row r="18" spans="1:31" x14ac:dyDescent="0.35">
      <c r="A18" t="s">
        <v>49</v>
      </c>
      <c r="B18" t="s">
        <v>42</v>
      </c>
      <c r="C18">
        <v>0</v>
      </c>
      <c r="D18">
        <v>-0.102256709</v>
      </c>
      <c r="E18">
        <v>-0.19118455600000001</v>
      </c>
      <c r="F18">
        <v>-2.983676E-2</v>
      </c>
      <c r="G18">
        <v>2.3800282999999998E-2</v>
      </c>
      <c r="H18">
        <v>8.8788872000000005E-2</v>
      </c>
      <c r="I18">
        <v>-0.31115121899999998</v>
      </c>
      <c r="J18">
        <v>4.6304889999999998E-3</v>
      </c>
      <c r="K18">
        <v>-7.3764980000000004E-3</v>
      </c>
      <c r="L18">
        <v>1.0613895E-2</v>
      </c>
      <c r="M18">
        <v>0</v>
      </c>
      <c r="N18">
        <v>0</v>
      </c>
      <c r="O18">
        <v>0</v>
      </c>
      <c r="P18">
        <v>-8.1672600000000004E-4</v>
      </c>
      <c r="Q18">
        <v>2.5172319999999999E-3</v>
      </c>
      <c r="R18">
        <v>-2.85159E-4</v>
      </c>
      <c r="S18">
        <v>-1.0320559999999999E-3</v>
      </c>
      <c r="T18">
        <v>-1.5233460000000001E-3</v>
      </c>
      <c r="U18">
        <v>-9.5126459999999996E-3</v>
      </c>
      <c r="V18">
        <v>-3.13584E-4</v>
      </c>
      <c r="W18">
        <v>8.9169656E-2</v>
      </c>
      <c r="X18">
        <v>1.323671E-3</v>
      </c>
      <c r="Y18">
        <v>-0.146096063</v>
      </c>
      <c r="Z18">
        <v>-0.14734520200000001</v>
      </c>
      <c r="AA18">
        <v>-0.22346882700000001</v>
      </c>
      <c r="AB18">
        <v>8.2771763999999998E-2</v>
      </c>
      <c r="AC18">
        <v>-0.180499563</v>
      </c>
      <c r="AD18">
        <v>-0.47394082799999998</v>
      </c>
      <c r="AE18">
        <v>-0.429858087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6699B-0B7A-4215-BAC3-0DE9BCAEFF0C}">
  <dimension ref="A1:AE18"/>
  <sheetViews>
    <sheetView workbookViewId="0">
      <selection activeCell="H2" sqref="H2:H18"/>
    </sheetView>
  </sheetViews>
  <sheetFormatPr defaultRowHeight="14.5" x14ac:dyDescent="0.35"/>
  <cols>
    <col min="4" max="4" width="22.90625" style="6" bestFit="1" customWidth="1"/>
    <col min="5" max="7" width="22.90625" bestFit="1" customWidth="1"/>
    <col min="8" max="8" width="22.90625" style="6" bestFit="1" customWidth="1"/>
    <col min="9" max="31" width="22.90625" bestFit="1" customWidth="1"/>
  </cols>
  <sheetData>
    <row r="1" spans="1:31" ht="87" x14ac:dyDescent="0.3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B2" t="s">
        <v>32</v>
      </c>
      <c r="C2">
        <v>-1</v>
      </c>
      <c r="D2" s="5">
        <f>published!D2-chase!D2</f>
        <v>4.2725498139439821E-10</v>
      </c>
      <c r="E2" s="3">
        <f>published!E2-chase!E2</f>
        <v>2.0596002681116943E-10</v>
      </c>
      <c r="F2" s="3">
        <f>published!F2-chase!F2</f>
        <v>-2.9709895654761453E-10</v>
      </c>
      <c r="G2" s="3">
        <f>published!G2-chase!G2</f>
        <v>5.6342014387311679E-11</v>
      </c>
      <c r="H2" s="5">
        <f>published!H2-chase!H2</f>
        <v>-7.2995660882256008E-3</v>
      </c>
      <c r="I2" s="3">
        <f>published!I2-chase!I2</f>
        <v>3.4329200593319342E-10</v>
      </c>
      <c r="J2" s="3">
        <f>published!J2-chase!J2</f>
        <v>3.0065200329332242E-11</v>
      </c>
      <c r="K2" s="3">
        <f>published!K2-chase!K2</f>
        <v>3.4111900804045803E-10</v>
      </c>
      <c r="L2" s="3">
        <f>published!L2-chase!L2</f>
        <v>2.9290949526972199E-10</v>
      </c>
      <c r="M2" s="3">
        <f>published!M2-chase!M2</f>
        <v>1.269990224095352E-10</v>
      </c>
      <c r="N2" s="3">
        <f>published!N2-chase!N2</f>
        <v>2.7843005678818145E-11</v>
      </c>
      <c r="O2" s="3">
        <f>published!O2-chase!O2</f>
        <v>-2.7914298650344449E-10</v>
      </c>
      <c r="P2" s="3">
        <f>published!P2-chase!P2</f>
        <v>8.6126598908276009E-11</v>
      </c>
      <c r="Q2" s="3">
        <f>published!Q2-chase!Q2</f>
        <v>2.208179750162742E-10</v>
      </c>
      <c r="R2" s="3">
        <f>published!R2-chase!R2</f>
        <v>-1.5559635101625863E-10</v>
      </c>
      <c r="S2" s="3">
        <f>published!S2-chase!S2</f>
        <v>-2.2442259856036983E-10</v>
      </c>
      <c r="T2" s="3">
        <f>published!T2-chase!T2</f>
        <v>3.4097519252540565E-10</v>
      </c>
      <c r="U2" s="3">
        <f>published!U2-chase!U2</f>
        <v>1.4328902994686921E-10</v>
      </c>
      <c r="V2" s="3">
        <f>published!V2-chase!V2</f>
        <v>-3.0195928895325463E-10</v>
      </c>
      <c r="W2" s="3">
        <f>published!W2-chase!W2</f>
        <v>1.3776899066009207E-10</v>
      </c>
      <c r="X2" s="3">
        <f>published!X2-chase!X2</f>
        <v>-8.8801993536335999E-11</v>
      </c>
      <c r="Y2" s="3">
        <f>published!Y2-chase!Y2</f>
        <v>-2.2967100443693766E-10</v>
      </c>
      <c r="Z2" s="3">
        <f>published!Z2-chase!Z2</f>
        <v>-1.3711398683113885E-10</v>
      </c>
      <c r="AA2" s="3">
        <f>published!AA2-chase!AA2</f>
        <v>-7.2393571878029972E-3</v>
      </c>
      <c r="AB2" s="3">
        <f>published!AB2-chase!AB2</f>
        <v>-2.4743007642769044E-10</v>
      </c>
      <c r="AC2" s="3">
        <f>published!AC2-chase!AC2</f>
        <v>-7.3407879450890778E-3</v>
      </c>
      <c r="AD2" s="3">
        <f>published!AD2-chase!AD2</f>
        <v>-7.3407883118740136E-3</v>
      </c>
      <c r="AE2" s="3">
        <f>published!AE2-chase!AE2</f>
        <v>-3.735566093390208E-4</v>
      </c>
    </row>
    <row r="3" spans="1:31" x14ac:dyDescent="0.35">
      <c r="A3" t="s">
        <v>33</v>
      </c>
      <c r="B3" t="s">
        <v>32</v>
      </c>
      <c r="C3">
        <v>-1</v>
      </c>
      <c r="D3" s="5">
        <f>published!D3-chase!D3</f>
        <v>4.796409935892143E-10</v>
      </c>
      <c r="E3" s="3">
        <f>published!E3-chase!E3</f>
        <v>1.638459923292146E-10</v>
      </c>
      <c r="F3" s="3">
        <f>published!F3-chase!F3</f>
        <v>2.5870200426325596E-10</v>
      </c>
      <c r="G3" s="3">
        <f>published!G3-chase!G3</f>
        <v>-2.7331803487129491E-11</v>
      </c>
      <c r="H3" s="5">
        <f>published!H3-chase!H3</f>
        <v>-1.1536903624919298E-2</v>
      </c>
      <c r="I3" s="3">
        <f>published!I3-chase!I3</f>
        <v>-4.5199954890051686E-12</v>
      </c>
      <c r="J3" s="3">
        <f>published!J3-chase!J3</f>
        <v>-2.1401180133606701E-10</v>
      </c>
      <c r="K3" s="3">
        <f>published!K3-chase!K3</f>
        <v>-1.3443449825567555E-10</v>
      </c>
      <c r="L3" s="3">
        <f>published!L3-chase!L3</f>
        <v>-2.3472539190105834E-10</v>
      </c>
      <c r="M3" s="3">
        <f>published!M3-chase!M3</f>
        <v>-9.7991295633370612E-11</v>
      </c>
      <c r="N3" s="3">
        <f>published!N3-chase!N3</f>
        <v>1.7887982067810171E-10</v>
      </c>
      <c r="O3" s="3">
        <f>published!O3-chase!O3</f>
        <v>1.2731998788595433E-10</v>
      </c>
      <c r="P3" s="3">
        <f>published!P3-chase!P3</f>
        <v>-1.8093580106404161E-10</v>
      </c>
      <c r="Q3" s="3">
        <f>published!Q3-chase!Q3</f>
        <v>-2.8776497851268346E-10</v>
      </c>
      <c r="R3" s="3">
        <f>published!R3-chase!R3</f>
        <v>3.5604839996455917E-10</v>
      </c>
      <c r="S3" s="3">
        <f>published!S3-chase!S3</f>
        <v>-2.6086001414515891E-11</v>
      </c>
      <c r="T3" s="3">
        <f>published!T3-chase!T3</f>
        <v>4.0907099929654578E-10</v>
      </c>
      <c r="U3" s="3">
        <f>published!U3-chase!U3</f>
        <v>-3.7506300842871099E-10</v>
      </c>
      <c r="V3" s="3">
        <f>published!V3-chase!V3</f>
        <v>4.0915153399654833E-11</v>
      </c>
      <c r="W3" s="3">
        <f>published!W3-chase!W3</f>
        <v>2.4702480339033883E-10</v>
      </c>
      <c r="X3" s="3">
        <f>published!X3-chase!X3</f>
        <v>-1.6823301085544529E-10</v>
      </c>
      <c r="Y3" s="3">
        <f>published!Y3-chase!Y3</f>
        <v>-5.5672993992672559E-11</v>
      </c>
      <c r="Z3" s="3">
        <f>published!Z3-chase!Z3</f>
        <v>-3.0084001956254269E-10</v>
      </c>
      <c r="AA3" s="3">
        <f>published!AA3-chase!AA3</f>
        <v>-1.1487745030217988E-2</v>
      </c>
      <c r="AB3" s="3">
        <f>published!AB3-chase!AB3</f>
        <v>1.0785206061569852E-10</v>
      </c>
      <c r="AC3" s="3">
        <f>published!AC3-chase!AC3</f>
        <v>-1.1575731123229016E-2</v>
      </c>
      <c r="AD3" s="3">
        <f>published!AD3-chase!AD3</f>
        <v>-1.1575730479742002E-2</v>
      </c>
      <c r="AE3" s="3">
        <f>published!AE3-chase!AE3</f>
        <v>-5.2594299210610151E-3</v>
      </c>
    </row>
    <row r="4" spans="1:31" x14ac:dyDescent="0.35">
      <c r="A4" t="s">
        <v>34</v>
      </c>
      <c r="B4" t="s">
        <v>32</v>
      </c>
      <c r="C4">
        <v>-1</v>
      </c>
      <c r="D4" s="5">
        <f>published!D4-chase!D4</f>
        <v>-2.5073430831579202E-10</v>
      </c>
      <c r="E4" s="3">
        <f>published!E4-chase!E4</f>
        <v>1.1224021712052945E-11</v>
      </c>
      <c r="F4" s="3">
        <f>published!F4-chase!F4</f>
        <v>1.138300981251561E-10</v>
      </c>
      <c r="G4" s="3">
        <f>published!G4-chase!G4</f>
        <v>3.727039024625789E-10</v>
      </c>
      <c r="H4" s="5">
        <f>published!H4-chase!H4</f>
        <v>-1.0760867399014107E-2</v>
      </c>
      <c r="I4" s="3">
        <f>published!I4-chase!I4</f>
        <v>3.8165599847150844E-10</v>
      </c>
      <c r="J4" s="3">
        <f>published!J4-chase!J4</f>
        <v>-2.057886014372734E-10</v>
      </c>
      <c r="K4" s="3">
        <f>published!K4-chase!K4</f>
        <v>-2.2797300158750033E-10</v>
      </c>
      <c r="L4" s="3">
        <f>published!L4-chase!L4</f>
        <v>2.5875102060979316E-10</v>
      </c>
      <c r="M4" s="3">
        <f>published!M4-chase!M4</f>
        <v>0</v>
      </c>
      <c r="N4" s="3">
        <f>published!N4-chase!N4</f>
        <v>4.191658799571063E-10</v>
      </c>
      <c r="O4" s="3">
        <f>published!O4-chase!O4</f>
        <v>1.3025119958293141E-10</v>
      </c>
      <c r="P4" s="3">
        <f>published!P4-chase!P4</f>
        <v>-4.5674709847620676E-10</v>
      </c>
      <c r="Q4" s="3">
        <f>published!Q4-chase!Q4</f>
        <v>-3.4126998449401924E-10</v>
      </c>
      <c r="R4" s="3">
        <f>published!R4-chase!R4</f>
        <v>-5.8742900301000933E-11</v>
      </c>
      <c r="S4" s="3">
        <f>published!S4-chase!S4</f>
        <v>-7.9999028235189229E-12</v>
      </c>
      <c r="T4" s="3">
        <f>published!T4-chase!T4</f>
        <v>-1.249600978248111E-10</v>
      </c>
      <c r="U4" s="3">
        <f>published!U4-chase!U4</f>
        <v>-4.1897800506784932E-10</v>
      </c>
      <c r="V4" s="3">
        <f>published!V4-chase!V4</f>
        <v>-4.1399106202617136E-11</v>
      </c>
      <c r="W4" s="3">
        <f>published!W4-chase!W4</f>
        <v>1.0882169471093661E-10</v>
      </c>
      <c r="X4" s="3">
        <f>published!X4-chase!X4</f>
        <v>-1.0813459849767781E-10</v>
      </c>
      <c r="Y4" s="3">
        <f>published!Y4-chase!Y4</f>
        <v>-4.8605008906577041E-11</v>
      </c>
      <c r="Z4" s="3">
        <f>published!Z4-chase!Z4</f>
        <v>-1.9090500014140588E-10</v>
      </c>
      <c r="AA4" s="3">
        <f>published!AA4-chase!AA4</f>
        <v>-1.0740195852908405E-2</v>
      </c>
      <c r="AB4" s="3">
        <f>published!AB4-chase!AB4</f>
        <v>1.0098200053931805E-10</v>
      </c>
      <c r="AC4" s="3">
        <f>published!AC4-chase!AC4</f>
        <v>-1.0821896595138991E-2</v>
      </c>
      <c r="AD4" s="3">
        <f>published!AD4-chase!AD4</f>
        <v>-1.0821896834648986E-2</v>
      </c>
      <c r="AE4" s="3">
        <f>published!AE4-chase!AE4</f>
        <v>-9.5352954949829982E-3</v>
      </c>
    </row>
    <row r="5" spans="1:31" x14ac:dyDescent="0.35">
      <c r="A5" t="s">
        <v>35</v>
      </c>
      <c r="B5" t="s">
        <v>32</v>
      </c>
      <c r="C5">
        <v>-1</v>
      </c>
      <c r="D5" s="5">
        <f>published!D5-chase!D5</f>
        <v>2.7774789412848833E-10</v>
      </c>
      <c r="E5" s="3">
        <f>published!E5-chase!E5</f>
        <v>-4.7669711233933043E-10</v>
      </c>
      <c r="F5" s="3">
        <f>published!F5-chase!F5</f>
        <v>3.2950098205475342E-10</v>
      </c>
      <c r="G5" s="3">
        <f>published!G5-chase!G5</f>
        <v>7.717199101975325E-11</v>
      </c>
      <c r="H5" s="5">
        <f>published!H5-chase!H5</f>
        <v>1.1084389885642004E-2</v>
      </c>
      <c r="I5" s="3">
        <f>published!I5-chase!I5</f>
        <v>-1.6437098904198422E-10</v>
      </c>
      <c r="J5" s="3">
        <f>published!J5-chase!J5</f>
        <v>2.22885300493747E-10</v>
      </c>
      <c r="K5" s="3">
        <f>published!K5-chase!K5</f>
        <v>-3.183466996958817E-10</v>
      </c>
      <c r="L5" s="3">
        <f>published!L5-chase!L5</f>
        <v>2.3116859815264235E-10</v>
      </c>
      <c r="M5" s="3">
        <f>published!M5-chase!M5</f>
        <v>0</v>
      </c>
      <c r="N5" s="3">
        <f>published!N5-chase!N5</f>
        <v>4.7900003408152259E-11</v>
      </c>
      <c r="O5" s="3">
        <f>published!O5-chase!O5</f>
        <v>1.4012334001445303E-10</v>
      </c>
      <c r="P5" s="3">
        <f>published!P5-chase!P5</f>
        <v>-2.2422570050695256E-10</v>
      </c>
      <c r="Q5" s="3">
        <f>published!Q5-chase!Q5</f>
        <v>-1.196019949745164E-10</v>
      </c>
      <c r="R5" s="3">
        <f>published!R5-chase!R5</f>
        <v>2.2940806025661953E-10</v>
      </c>
      <c r="S5" s="3">
        <f>published!S5-chase!S5</f>
        <v>4.5599980041943766E-10</v>
      </c>
      <c r="T5" s="3">
        <f>published!T5-chase!T5</f>
        <v>-2.3408359972609816E-10</v>
      </c>
      <c r="U5" s="3">
        <f>published!U5-chase!U5</f>
        <v>-8.0262005375253409E-11</v>
      </c>
      <c r="V5" s="3">
        <f>published!V5-chase!V5</f>
        <v>-4.9790091396616915E-10</v>
      </c>
      <c r="W5" s="3">
        <f>published!W5-chase!W5</f>
        <v>2.4423899014358597E-10</v>
      </c>
      <c r="X5" s="3">
        <f>published!X5-chase!X5</f>
        <v>3.9648698213490263E-10</v>
      </c>
      <c r="Y5" s="3">
        <f>published!Y5-chase!Y5</f>
        <v>3.7231301375229009E-10</v>
      </c>
      <c r="Z5" s="3">
        <f>published!Z5-chase!Z5</f>
        <v>4.287380173106925E-10</v>
      </c>
      <c r="AA5" s="3">
        <f>published!AA5-chase!AA5</f>
        <v>1.099167029000403E-2</v>
      </c>
      <c r="AB5" s="3">
        <f>published!AB5-chase!AB5</f>
        <v>-2.1561197272035315E-10</v>
      </c>
      <c r="AC5" s="3">
        <f>published!AC5-chase!AC5</f>
        <v>1.1050596450387001E-2</v>
      </c>
      <c r="AD5" s="3">
        <f>published!AD5-chase!AD5</f>
        <v>1.1050596251438005E-2</v>
      </c>
      <c r="AE5" s="3">
        <f>published!AE5-chase!AE5</f>
        <v>-4.6719545937065066E-3</v>
      </c>
    </row>
    <row r="6" spans="1:31" x14ac:dyDescent="0.35">
      <c r="A6" t="s">
        <v>36</v>
      </c>
      <c r="B6" t="s">
        <v>32</v>
      </c>
      <c r="C6">
        <v>-1</v>
      </c>
      <c r="D6" s="5">
        <f>published!D6-chase!D6</f>
        <v>-4.4342399196928284E-10</v>
      </c>
      <c r="E6" s="3">
        <f>published!E6-chase!E6</f>
        <v>-2.1706389463638232E-10</v>
      </c>
      <c r="F6" s="3">
        <f>published!F6-chase!F6</f>
        <v>2.3269297599881611E-10</v>
      </c>
      <c r="G6" s="3">
        <f>published!G6-chase!G6</f>
        <v>-1.0350101331546568E-10</v>
      </c>
      <c r="H6" s="5">
        <f>published!H6-chase!H6</f>
        <v>3.2009450214026958E-3</v>
      </c>
      <c r="I6" s="3">
        <f>published!I6-chase!I6</f>
        <v>-3.4780109348098165E-11</v>
      </c>
      <c r="J6" s="3">
        <f>published!J6-chase!J6</f>
        <v>3.8143000216650513E-10</v>
      </c>
      <c r="K6" s="3">
        <f>published!K6-chase!K6</f>
        <v>-4.8991399825837334E-10</v>
      </c>
      <c r="L6" s="3">
        <f>published!L6-chase!L6</f>
        <v>-1.614169006791677E-10</v>
      </c>
      <c r="M6" s="3">
        <f>published!M6-chase!M6</f>
        <v>0</v>
      </c>
      <c r="N6" s="3">
        <f>published!N6-chase!N6</f>
        <v>-4.7067100217290658E-10</v>
      </c>
      <c r="O6" s="3">
        <f>published!O6-chase!O6</f>
        <v>-4.0731638201174647E-10</v>
      </c>
      <c r="P6" s="3">
        <f>published!P6-chase!P6</f>
        <v>3.7657020036940825E-10</v>
      </c>
      <c r="Q6" s="3">
        <f>published!Q6-chase!Q6</f>
        <v>-1.9210399937463762E-10</v>
      </c>
      <c r="R6" s="3">
        <f>published!R6-chase!R6</f>
        <v>2.8493070056145875E-10</v>
      </c>
      <c r="S6" s="3">
        <f>published!S6-chase!S6</f>
        <v>5.6599502862297868E-11</v>
      </c>
      <c r="T6" s="3">
        <f>published!T6-chase!T6</f>
        <v>3.6278120091326471E-10</v>
      </c>
      <c r="U6" s="3">
        <f>published!U6-chase!U6</f>
        <v>-3.8899850007823034E-10</v>
      </c>
      <c r="V6" s="3">
        <f>published!V6-chase!V6</f>
        <v>3.8061950986822968E-10</v>
      </c>
      <c r="W6" s="3">
        <f>published!W6-chase!W6</f>
        <v>-1.4378599699771399E-10</v>
      </c>
      <c r="X6" s="3">
        <f>published!X6-chase!X6</f>
        <v>4.5447699770218009E-10</v>
      </c>
      <c r="Y6" s="3">
        <f>published!Y6-chase!Y6</f>
        <v>-3.9523698203147717E-10</v>
      </c>
      <c r="Z6" s="3">
        <f>published!Z6-chase!Z6</f>
        <v>-2.6525050211834156E-10</v>
      </c>
      <c r="AA6" s="3">
        <f>published!AA6-chase!AA6</f>
        <v>3.1808895111630209E-3</v>
      </c>
      <c r="AB6" s="3">
        <f>published!AB6-chase!AB6</f>
        <v>2.984880120848743E-10</v>
      </c>
      <c r="AC6" s="3">
        <f>published!AC6-chase!AC6</f>
        <v>3.1953035089510029E-3</v>
      </c>
      <c r="AD6" s="3">
        <f>published!AD6-chase!AD6</f>
        <v>3.195302848463033E-3</v>
      </c>
      <c r="AE6" s="3">
        <f>published!AE6-chase!AE6</f>
        <v>-2.0379320536220019E-3</v>
      </c>
    </row>
    <row r="7" spans="1:31" x14ac:dyDescent="0.35">
      <c r="A7" t="s">
        <v>37</v>
      </c>
      <c r="B7" t="s">
        <v>32</v>
      </c>
      <c r="C7">
        <v>-1</v>
      </c>
      <c r="D7" s="5">
        <f>published!D7-chase!D7</f>
        <v>-4.236120343392713E-10</v>
      </c>
      <c r="E7" s="3">
        <f>published!E7-chase!E7</f>
        <v>-4.314009982575584E-10</v>
      </c>
      <c r="F7" s="3">
        <f>published!F7-chase!F7</f>
        <v>-1.3708501001019613E-10</v>
      </c>
      <c r="G7" s="3">
        <f>published!G7-chase!G7</f>
        <v>-4.3466460292185261E-10</v>
      </c>
      <c r="H7" s="5">
        <f>published!H7-chase!H7</f>
        <v>-3.201789382794501E-3</v>
      </c>
      <c r="I7" s="3">
        <f>published!I7-chase!I7</f>
        <v>3.1025179647592438E-10</v>
      </c>
      <c r="J7" s="3">
        <f>published!J7-chase!J7</f>
        <v>-3.8059000048717984E-10</v>
      </c>
      <c r="K7" s="3">
        <f>published!K7-chase!K7</f>
        <v>-1.514829928161987E-10</v>
      </c>
      <c r="L7" s="3">
        <f>published!L7-chase!L7</f>
        <v>-4.0460289979504793E-10</v>
      </c>
      <c r="M7" s="3">
        <f>published!M7-chase!M7</f>
        <v>0</v>
      </c>
      <c r="N7" s="3">
        <f>published!N7-chase!N7</f>
        <v>4.5794799896636817E-10</v>
      </c>
      <c r="O7" s="3">
        <f>published!O7-chase!O7</f>
        <v>-6.7571947982760644E-11</v>
      </c>
      <c r="P7" s="3">
        <f>published!P7-chase!P7</f>
        <v>-3.5193289948942663E-10</v>
      </c>
      <c r="Q7" s="3">
        <f>published!Q7-chase!Q7</f>
        <v>3.2301394892186863E-10</v>
      </c>
      <c r="R7" s="3">
        <f>published!R7-chase!R7</f>
        <v>4.1372379133708392E-10</v>
      </c>
      <c r="S7" s="3">
        <f>published!S7-chase!S7</f>
        <v>4.7585239915104438E-10</v>
      </c>
      <c r="T7" s="3">
        <f>published!T7-chase!T7</f>
        <v>-3.9361810338922609E-10</v>
      </c>
      <c r="U7" s="3">
        <f>published!U7-chase!U7</f>
        <v>3.57536902861888E-10</v>
      </c>
      <c r="V7" s="3">
        <f>published!V7-chase!V7</f>
        <v>-2.4616808002024971E-11</v>
      </c>
      <c r="W7" s="3">
        <f>published!W7-chase!W7</f>
        <v>-2.2750301642560089E-10</v>
      </c>
      <c r="X7" s="3">
        <f>published!X7-chase!X7</f>
        <v>-3.6020909865985828E-10</v>
      </c>
      <c r="Y7" s="3">
        <f>published!Y7-chase!Y7</f>
        <v>6.5902838741749292E-13</v>
      </c>
      <c r="Z7" s="3">
        <f>published!Z7-chase!Z7</f>
        <v>1.4432799400054819E-10</v>
      </c>
      <c r="AA7" s="3">
        <f>published!AA7-chase!AA7</f>
        <v>-3.1957037618070006E-3</v>
      </c>
      <c r="AB7" s="3">
        <f>published!AB7-chase!AB7</f>
        <v>3.4268490128885887E-10</v>
      </c>
      <c r="AC7" s="3">
        <f>published!AC7-chase!AC7</f>
        <v>-3.1968881811026972E-3</v>
      </c>
      <c r="AD7" s="3">
        <f>published!AD7-chase!AD7</f>
        <v>-3.1968880361159524E-3</v>
      </c>
      <c r="AE7" s="3">
        <f>published!AE7-chase!AE7</f>
        <v>5.677830728401112E-5</v>
      </c>
    </row>
    <row r="8" spans="1:31" x14ac:dyDescent="0.35">
      <c r="A8" t="s">
        <v>38</v>
      </c>
      <c r="B8" t="s">
        <v>32</v>
      </c>
      <c r="C8">
        <v>-1</v>
      </c>
      <c r="D8" s="5">
        <f>published!D8-chase!D8</f>
        <v>-2.7871299712600717E-10</v>
      </c>
      <c r="E8" s="3">
        <f>published!E8-chase!E8</f>
        <v>4.1422320434802984E-10</v>
      </c>
      <c r="F8" s="3">
        <f>published!F8-chase!F8</f>
        <v>1.6629975174708989E-11</v>
      </c>
      <c r="G8" s="3">
        <f>published!G8-chase!G8</f>
        <v>-3.8163689916603794E-10</v>
      </c>
      <c r="H8" s="5">
        <f>published!H8-chase!H8</f>
        <v>-9.2557525239223004E-3</v>
      </c>
      <c r="I8" s="3">
        <f>published!I8-chase!I8</f>
        <v>1.249290115801216E-10</v>
      </c>
      <c r="J8" s="3">
        <f>published!J8-chase!J8</f>
        <v>2.0020339899784467E-10</v>
      </c>
      <c r="K8" s="3">
        <f>published!K8-chase!K8</f>
        <v>-2.6911700645726455E-10</v>
      </c>
      <c r="L8" s="3">
        <f>published!L8-chase!L8</f>
        <v>-1.0258699792431436E-10</v>
      </c>
      <c r="M8" s="3">
        <f>published!M8-chase!M8</f>
        <v>0</v>
      </c>
      <c r="N8" s="3">
        <f>published!N8-chase!N8</f>
        <v>2.3507398805300284E-10</v>
      </c>
      <c r="O8" s="3">
        <f>published!O8-chase!O8</f>
        <v>-4.01658493005266E-10</v>
      </c>
      <c r="P8" s="3">
        <f>published!P8-chase!P8</f>
        <v>2.0678873977747481E-10</v>
      </c>
      <c r="Q8" s="3">
        <f>published!Q8-chase!Q8</f>
        <v>3.1187000204546678E-10</v>
      </c>
      <c r="R8" s="3">
        <f>published!R8-chase!R8</f>
        <v>-4.2323980084524315E-10</v>
      </c>
      <c r="S8" s="3">
        <f>published!S8-chase!S8</f>
        <v>-1.2903699983524142E-10</v>
      </c>
      <c r="T8" s="3">
        <f>published!T8-chase!T8</f>
        <v>-2.0910199960422204E-10</v>
      </c>
      <c r="U8" s="3">
        <f>published!U8-chase!U8</f>
        <v>-3.6009870085784712E-10</v>
      </c>
      <c r="V8" s="3">
        <f>published!V8-chase!V8</f>
        <v>-3.4027490799560557E-11</v>
      </c>
      <c r="W8" s="3">
        <f>published!W8-chase!W8</f>
        <v>-3.4230901446719031E-10</v>
      </c>
      <c r="X8" s="3">
        <f>published!X8-chase!X8</f>
        <v>-4.5658299363537935E-10</v>
      </c>
      <c r="Y8" s="3">
        <f>published!Y8-chase!Y8</f>
        <v>3.2359498414180621E-10</v>
      </c>
      <c r="Z8" s="3">
        <f>published!Z8-chase!Z8</f>
        <v>-1.8808459997798899E-10</v>
      </c>
      <c r="AA8" s="3">
        <f>published!AA8-chase!AA8</f>
        <v>-9.2391559486269814E-3</v>
      </c>
      <c r="AB8" s="3">
        <f>published!AB8-chase!AB8</f>
        <v>-3.3700001123015966E-10</v>
      </c>
      <c r="AC8" s="3">
        <f>published!AC8-chase!AC8</f>
        <v>-9.2168340710240271E-3</v>
      </c>
      <c r="AD8" s="3">
        <f>published!AD8-chase!AD8</f>
        <v>-9.2168349355139512E-3</v>
      </c>
      <c r="AE8" s="3">
        <f>published!AE8-chase!AE8</f>
        <v>4.5804453206799156E-4</v>
      </c>
    </row>
    <row r="9" spans="1:31" x14ac:dyDescent="0.35">
      <c r="A9" t="s">
        <v>39</v>
      </c>
      <c r="B9" t="s">
        <v>32</v>
      </c>
      <c r="C9">
        <v>-1</v>
      </c>
      <c r="D9" s="5">
        <f>published!D9-chase!D9</f>
        <v>-2.0673596168307995E-10</v>
      </c>
      <c r="E9" s="3">
        <f>published!E9-chase!E9</f>
        <v>2.0404349737601635E-10</v>
      </c>
      <c r="F9" s="3">
        <f>published!F9-chase!F9</f>
        <v>1.8820292546628536E-11</v>
      </c>
      <c r="G9" s="3">
        <f>published!G9-chase!G9</f>
        <v>3.5484698512888713E-11</v>
      </c>
      <c r="H9" s="5">
        <f>published!H9-chase!H9</f>
        <v>-2.56344884457546E-2</v>
      </c>
      <c r="I9" s="3">
        <f>published!I9-chase!I9</f>
        <v>-1.6617200671031895E-11</v>
      </c>
      <c r="J9" s="3">
        <f>published!J9-chase!J9</f>
        <v>2.6595110141913736E-10</v>
      </c>
      <c r="K9" s="3">
        <f>published!K9-chase!K9</f>
        <v>3.5421302002625055E-10</v>
      </c>
      <c r="L9" s="3">
        <f>published!L9-chase!L9</f>
        <v>-4.7173231119967962E-10</v>
      </c>
      <c r="M9" s="3">
        <f>published!M9-chase!M9</f>
        <v>0</v>
      </c>
      <c r="N9" s="3">
        <f>published!N9-chase!N9</f>
        <v>4.9525880618794815E-10</v>
      </c>
      <c r="O9" s="3">
        <f>published!O9-chase!O9</f>
        <v>0</v>
      </c>
      <c r="P9" s="3">
        <f>published!P9-chase!P9</f>
        <v>-1.2317334397446769E-10</v>
      </c>
      <c r="Q9" s="3">
        <f>published!Q9-chase!Q9</f>
        <v>3.607530940641368E-10</v>
      </c>
      <c r="R9" s="3">
        <f>published!R9-chase!R9</f>
        <v>-2.2870709839861725E-10</v>
      </c>
      <c r="S9" s="3">
        <f>published!S9-chase!S9</f>
        <v>-3.2334640000242221E-10</v>
      </c>
      <c r="T9" s="3">
        <f>published!T9-chase!T9</f>
        <v>4.6097200709360742E-11</v>
      </c>
      <c r="U9" s="3">
        <f>published!U9-chase!U9</f>
        <v>1.6662420054824878E-10</v>
      </c>
      <c r="V9" s="3">
        <f>published!V9-chase!V9</f>
        <v>3.7912542999755591E-10</v>
      </c>
      <c r="W9" s="3">
        <f>published!W9-chase!W9</f>
        <v>-4.9520300360317293E-10</v>
      </c>
      <c r="X9" s="3">
        <f>published!X9-chase!X9</f>
        <v>1.3060160158201439E-11</v>
      </c>
      <c r="Y9" s="3">
        <f>published!Y9-chase!Y9</f>
        <v>-4.3850034714409958E-11</v>
      </c>
      <c r="Z9" s="3">
        <f>published!Z9-chase!Z9</f>
        <v>4.1160963526465366E-11</v>
      </c>
      <c r="AA9" s="3">
        <f>published!AA9-chase!AA9</f>
        <v>-2.5630328156299897E-2</v>
      </c>
      <c r="AB9" s="3">
        <f>published!AB9-chase!AB9</f>
        <v>4.0340870227639769E-10</v>
      </c>
      <c r="AC9" s="3">
        <f>published!AC9-chase!AC9</f>
        <v>-2.5623417968797996E-2</v>
      </c>
      <c r="AD9" s="3">
        <f>published!AD9-chase!AD9</f>
        <v>-2.5623417971490925E-2</v>
      </c>
      <c r="AE9" s="3">
        <f>published!AE9-chase!AE9</f>
        <v>-8.7104597736639977E-3</v>
      </c>
    </row>
    <row r="10" spans="1:31" x14ac:dyDescent="0.35">
      <c r="A10" t="s">
        <v>40</v>
      </c>
      <c r="B10" t="s">
        <v>32</v>
      </c>
      <c r="C10">
        <v>-1</v>
      </c>
      <c r="D10" s="5">
        <f>published!D10-chase!D10</f>
        <v>1.2707301877412647E-10</v>
      </c>
      <c r="E10" s="3">
        <f>published!E10-chase!E10</f>
        <v>3.7341660319434311E-10</v>
      </c>
      <c r="F10" s="3">
        <f>published!F10-chase!F10</f>
        <v>-2.7841196015288006E-10</v>
      </c>
      <c r="G10" s="3">
        <f>published!G10-chase!G10</f>
        <v>-2.0316740650949683E-10</v>
      </c>
      <c r="H10" s="5">
        <f>published!H10-chase!H10</f>
        <v>-3.4932699159152016E-3</v>
      </c>
      <c r="I10" s="3">
        <f>published!I10-chase!I10</f>
        <v>3.9174699595356799E-10</v>
      </c>
      <c r="J10" s="3">
        <f>published!J10-chase!J10</f>
        <v>-2.2980043996173594E-10</v>
      </c>
      <c r="K10" s="3">
        <f>published!K10-chase!K10</f>
        <v>-2.9875796281331191E-10</v>
      </c>
      <c r="L10" s="3">
        <f>published!L10-chase!L10</f>
        <v>-4.1771979972238249E-10</v>
      </c>
      <c r="M10" s="3">
        <f>published!M10-chase!M10</f>
        <v>0</v>
      </c>
      <c r="N10" s="3">
        <f>published!N10-chase!N10</f>
        <v>1.8475640461979026E-10</v>
      </c>
      <c r="O10" s="3">
        <f>published!O10-chase!O10</f>
        <v>0</v>
      </c>
      <c r="P10" s="3">
        <f>published!P10-chase!P10</f>
        <v>3.810152399748995E-10</v>
      </c>
      <c r="Q10" s="3">
        <f>published!Q10-chase!Q10</f>
        <v>1.6476890685179768E-10</v>
      </c>
      <c r="R10" s="3">
        <f>published!R10-chase!R10</f>
        <v>-2.4303789883384219E-10</v>
      </c>
      <c r="S10" s="3">
        <f>published!S10-chase!S10</f>
        <v>-4.6848079929273645E-10</v>
      </c>
      <c r="T10" s="3">
        <f>published!T10-chase!T10</f>
        <v>-3.4977419918758024E-10</v>
      </c>
      <c r="U10" s="3">
        <f>published!U10-chase!U10</f>
        <v>-3.7953830009374023E-10</v>
      </c>
      <c r="V10" s="3">
        <f>published!V10-chase!V10</f>
        <v>3.5063439001239982E-10</v>
      </c>
      <c r="W10" s="3">
        <f>published!W10-chase!W10</f>
        <v>2.9353797170728058E-10</v>
      </c>
      <c r="X10" s="3">
        <f>published!X10-chase!X10</f>
        <v>-2.7653479853229079E-10</v>
      </c>
      <c r="Y10" s="3">
        <f>published!Y10-chase!Y10</f>
        <v>-3.454759811560848E-10</v>
      </c>
      <c r="Z10" s="3">
        <f>published!Z10-chase!Z10</f>
        <v>-1.5403400777103116E-10</v>
      </c>
      <c r="AA10" s="3">
        <f>published!AA10-chase!AA10</f>
        <v>-3.5058112319100165E-3</v>
      </c>
      <c r="AB10" s="3">
        <f>published!AB10-chase!AB10</f>
        <v>3.1426500290976378E-10</v>
      </c>
      <c r="AC10" s="3">
        <f>published!AC10-chase!AC10</f>
        <v>-3.4894676889780096E-3</v>
      </c>
      <c r="AD10" s="3">
        <f>published!AD10-chase!AD10</f>
        <v>-3.4894671884880823E-3</v>
      </c>
      <c r="AE10" s="3">
        <f>published!AE10-chase!AE10</f>
        <v>-1.038165153290177E-2</v>
      </c>
    </row>
    <row r="11" spans="1:31" x14ac:dyDescent="0.35">
      <c r="A11" t="s">
        <v>41</v>
      </c>
      <c r="B11" t="s">
        <v>42</v>
      </c>
      <c r="C11">
        <v>0</v>
      </c>
      <c r="D11" s="5">
        <f>published!D11-chase!D11</f>
        <v>0.26333063625393299</v>
      </c>
      <c r="E11" s="3">
        <f>published!E11-chase!E11</f>
        <v>-2.0943799472483704E-10</v>
      </c>
      <c r="F11" s="3">
        <f>published!F11-chase!F11</f>
        <v>-2.5819099636059661E-10</v>
      </c>
      <c r="G11" s="3">
        <f>published!G11-chase!G11</f>
        <v>2.4230849965389822E-10</v>
      </c>
      <c r="H11" s="5">
        <f>published!H11-chase!H11</f>
        <v>-6.0569441125440104E-3</v>
      </c>
      <c r="I11" s="3">
        <f>published!I11-chase!I11</f>
        <v>3.2275998540498563E-10</v>
      </c>
      <c r="J11" s="3">
        <f>published!J11-chase!J11</f>
        <v>3.5750320065419672E-10</v>
      </c>
      <c r="K11" s="3">
        <f>published!K11-chase!K11</f>
        <v>9.9726005231559611E-11</v>
      </c>
      <c r="L11" s="3">
        <f>published!L11-chase!L11</f>
        <v>4.5905906699106151E-10</v>
      </c>
      <c r="M11" s="3">
        <f>published!M11-chase!M11</f>
        <v>0</v>
      </c>
      <c r="N11" s="3">
        <f>published!N11-chase!N11</f>
        <v>6.4889503926385261E-11</v>
      </c>
      <c r="O11" s="3">
        <f>published!O11-chase!O11</f>
        <v>0</v>
      </c>
      <c r="P11" s="3">
        <f>published!P11-chase!P11</f>
        <v>2.539871195306187E-10</v>
      </c>
      <c r="Q11" s="3">
        <f>published!Q11-chase!Q11</f>
        <v>2.5412409676572878E-10</v>
      </c>
      <c r="R11" s="3">
        <f>published!R11-chase!R11</f>
        <v>-2.816870001143279E-11</v>
      </c>
      <c r="S11" s="3">
        <f>published!S11-chase!S11</f>
        <v>1.760065999195648E-10</v>
      </c>
      <c r="T11" s="3">
        <f>published!T11-chase!T11</f>
        <v>3.566977095637025E-10</v>
      </c>
      <c r="U11" s="3">
        <f>published!U11-chase!U11</f>
        <v>-3.6287479965313452E-10</v>
      </c>
      <c r="V11" s="3">
        <f>published!V11-chase!V11</f>
        <v>-3.3301352994619116E-10</v>
      </c>
      <c r="W11" s="3">
        <f>published!W11-chase!W11</f>
        <v>2.2556301271237089E-10</v>
      </c>
      <c r="X11" s="3">
        <f>published!X11-chase!X11</f>
        <v>-1.8405630014886598E-10</v>
      </c>
      <c r="Y11" s="3">
        <f>published!Y11-chase!Y11</f>
        <v>0.26333063623657399</v>
      </c>
      <c r="Z11" s="3">
        <f>published!Z11-chase!Z11</f>
        <v>-1.9207899160100794E-10</v>
      </c>
      <c r="AA11" s="3">
        <f>published!AA11-chase!AA11</f>
        <v>-6.0572142575039956E-3</v>
      </c>
      <c r="AB11" s="3">
        <f>published!AB11-chase!AB11</f>
        <v>2.6144297837760178E-10</v>
      </c>
      <c r="AC11" s="3">
        <f>published!AC11-chase!AC11</f>
        <v>-6.0379008930049882E-3</v>
      </c>
      <c r="AD11" s="3">
        <f>published!AD11-chase!AD11</f>
        <v>0.25729273515148898</v>
      </c>
      <c r="AE11" s="3">
        <f>published!AE11-chase!AE11</f>
        <v>5.4740754263999991E-2</v>
      </c>
    </row>
    <row r="12" spans="1:31" x14ac:dyDescent="0.35">
      <c r="A12" t="s">
        <v>43</v>
      </c>
      <c r="B12" t="s">
        <v>42</v>
      </c>
      <c r="C12">
        <v>0</v>
      </c>
      <c r="D12" s="5">
        <f>published!D12-chase!D12</f>
        <v>0.1427653500456173</v>
      </c>
      <c r="E12" s="3">
        <f>published!E12-chase!E12</f>
        <v>9.7650998398535194E-11</v>
      </c>
      <c r="F12" s="3">
        <f>published!F12-chase!F12</f>
        <v>9.2330032508414206E-12</v>
      </c>
      <c r="G12" s="3">
        <f>published!G12-chase!G12</f>
        <v>3.3661880054214333E-10</v>
      </c>
      <c r="H12" s="5">
        <f>published!H12-chase!H12</f>
        <v>-4.954530488779807E-3</v>
      </c>
      <c r="I12" s="3">
        <f>published!I12-chase!I12</f>
        <v>1.6915729927902134E-10</v>
      </c>
      <c r="J12" s="3">
        <f>published!J12-chase!J12</f>
        <v>4.247357795333917E-10</v>
      </c>
      <c r="K12" s="3">
        <f>published!K12-chase!K12</f>
        <v>1.1733999882856949E-10</v>
      </c>
      <c r="L12" s="3">
        <f>published!L12-chase!L12</f>
        <v>1.0553419943493125E-10</v>
      </c>
      <c r="M12" s="3">
        <f>published!M12-chase!M12</f>
        <v>0</v>
      </c>
      <c r="N12" s="3">
        <f>published!N12-chase!N12</f>
        <v>-1.0751689306660178E-10</v>
      </c>
      <c r="O12" s="3">
        <f>published!O12-chase!O12</f>
        <v>0</v>
      </c>
      <c r="P12" s="3">
        <f>published!P12-chase!P12</f>
        <v>4.3815758053039611E-10</v>
      </c>
      <c r="Q12" s="3">
        <f>published!Q12-chase!Q12</f>
        <v>-1.6551870291037218E-10</v>
      </c>
      <c r="R12" s="3">
        <f>published!R12-chase!R12</f>
        <v>-3.6131573991418642E-10</v>
      </c>
      <c r="S12" s="3">
        <f>published!S12-chase!S12</f>
        <v>4.7001490026399306E-10</v>
      </c>
      <c r="T12" s="3">
        <f>published!T12-chase!T12</f>
        <v>1.6226879041847386E-10</v>
      </c>
      <c r="U12" s="3">
        <f>published!U12-chase!U12</f>
        <v>-1.5238249898019696E-10</v>
      </c>
      <c r="V12" s="3">
        <f>published!V12-chase!V12</f>
        <v>-1.7451336979234372E-11</v>
      </c>
      <c r="W12" s="3">
        <f>published!W12-chase!W12</f>
        <v>2.8754398861963182E-10</v>
      </c>
      <c r="X12" s="3">
        <f>published!X12-chase!X12</f>
        <v>-2.1995301413557655E-11</v>
      </c>
      <c r="Y12" s="3">
        <f>published!Y12-chase!Y12</f>
        <v>0.14276534975543509</v>
      </c>
      <c r="Z12" s="3">
        <f>published!Z12-chase!Z12</f>
        <v>3.8783320999158377E-10</v>
      </c>
      <c r="AA12" s="3">
        <f>published!AA12-chase!AA12</f>
        <v>-4.9592506429039993E-3</v>
      </c>
      <c r="AB12" s="3">
        <f>published!AB12-chase!AB12</f>
        <v>2.5373403378381454E-10</v>
      </c>
      <c r="AC12" s="3">
        <f>published!AC12-chase!AC12</f>
        <v>-4.9416090750125695E-3</v>
      </c>
      <c r="AD12" s="3">
        <f>published!AD12-chase!AD12</f>
        <v>0.13782374106825598</v>
      </c>
      <c r="AE12" s="3">
        <f>published!AE12-chase!AE12</f>
        <v>9.1500897264942038E-2</v>
      </c>
    </row>
    <row r="13" spans="1:31" x14ac:dyDescent="0.35">
      <c r="A13" t="s">
        <v>44</v>
      </c>
      <c r="B13" t="s">
        <v>42</v>
      </c>
      <c r="C13">
        <v>0</v>
      </c>
      <c r="D13" s="5">
        <f>published!D13-chase!D13</f>
        <v>0.20092433245161798</v>
      </c>
      <c r="E13" s="3">
        <f>published!E13-chase!E13</f>
        <v>-4.3754097567294536E-10</v>
      </c>
      <c r="F13" s="3">
        <f>published!F13-chase!F13</f>
        <v>1.9295701148003275E-10</v>
      </c>
      <c r="G13" s="3">
        <f>published!G13-chase!G13</f>
        <v>3.5137940300467019E-11</v>
      </c>
      <c r="H13" s="5">
        <f>published!H13-chase!H13</f>
        <v>7.2181624633597952E-3</v>
      </c>
      <c r="I13" s="3">
        <f>published!I13-chase!I13</f>
        <v>1.1445011605104582E-11</v>
      </c>
      <c r="J13" s="3">
        <f>published!J13-chase!J13</f>
        <v>-4.6815258961108164E-10</v>
      </c>
      <c r="K13" s="3">
        <f>published!K13-chase!K13</f>
        <v>6.4218397960447149E-11</v>
      </c>
      <c r="L13" s="3">
        <f>published!L13-chase!L13</f>
        <v>9.8240901524881963E-11</v>
      </c>
      <c r="M13" s="3">
        <f>published!M13-chase!M13</f>
        <v>0</v>
      </c>
      <c r="N13" s="3">
        <f>published!N13-chase!N13</f>
        <v>3.4333776197537774E-10</v>
      </c>
      <c r="O13" s="3">
        <f>published!O13-chase!O13</f>
        <v>0</v>
      </c>
      <c r="P13" s="3">
        <f>published!P13-chase!P13</f>
        <v>2.2117778962493784E-10</v>
      </c>
      <c r="Q13" s="3">
        <f>published!Q13-chase!Q13</f>
        <v>2.7758539000374838E-10</v>
      </c>
      <c r="R13" s="3">
        <f>published!R13-chase!R13</f>
        <v>4.709920699980108E-10</v>
      </c>
      <c r="S13" s="3">
        <f>published!S13-chase!S13</f>
        <v>-3.8919800021686157E-10</v>
      </c>
      <c r="T13" s="3">
        <f>published!T13-chase!T13</f>
        <v>-1.8507354069413617E-10</v>
      </c>
      <c r="U13" s="3">
        <f>published!U13-chase!U13</f>
        <v>1.0714359954810959E-10</v>
      </c>
      <c r="V13" s="3">
        <f>published!V13-chase!V13</f>
        <v>-4.1364434197766614E-10</v>
      </c>
      <c r="W13" s="3">
        <f>published!W13-chase!W13</f>
        <v>-1.6313200790207816E-10</v>
      </c>
      <c r="X13" s="3">
        <f>published!X13-chase!X13</f>
        <v>4.9919430047951074E-10</v>
      </c>
      <c r="Y13" s="3">
        <f>published!Y13-chase!Y13</f>
        <v>0.20092433212940902</v>
      </c>
      <c r="Z13" s="3">
        <f>published!Z13-chase!Z13</f>
        <v>-1.1533099475435904E-10</v>
      </c>
      <c r="AA13" s="3">
        <f>published!AA13-chase!AA13</f>
        <v>7.2060440060459918E-3</v>
      </c>
      <c r="AB13" s="3">
        <f>published!AB13-chase!AB13</f>
        <v>3.4891101119427503E-10</v>
      </c>
      <c r="AC13" s="3">
        <f>published!AC13-chase!AC13</f>
        <v>7.181850744063023E-3</v>
      </c>
      <c r="AD13" s="3">
        <f>published!AD13-chase!AD13</f>
        <v>0.20810618275814</v>
      </c>
      <c r="AE13" s="3">
        <f>published!AE13-chase!AE13</f>
        <v>0.14993329744734968</v>
      </c>
    </row>
    <row r="14" spans="1:31" x14ac:dyDescent="0.35">
      <c r="A14" t="s">
        <v>45</v>
      </c>
      <c r="B14" t="s">
        <v>42</v>
      </c>
      <c r="C14">
        <v>0</v>
      </c>
      <c r="D14" s="5">
        <f>published!D14-chase!D14</f>
        <v>0.1254107683682093</v>
      </c>
      <c r="E14" s="3">
        <f>published!E14-chase!E14</f>
        <v>1.8851198380076539E-10</v>
      </c>
      <c r="F14" s="3">
        <f>published!F14-chase!F14</f>
        <v>-2.8768699922299135E-10</v>
      </c>
      <c r="G14" s="3">
        <f>published!G14-chase!G14</f>
        <v>-3.4425278990293795E-10</v>
      </c>
      <c r="H14" s="5">
        <f>published!H14-chase!H14</f>
        <v>6.5495536217771086E-3</v>
      </c>
      <c r="I14" s="3">
        <f>published!I14-chase!I14</f>
        <v>9.2057000911083264E-11</v>
      </c>
      <c r="J14" s="3">
        <f>published!J14-chase!J14</f>
        <v>-5.754239966460073E-11</v>
      </c>
      <c r="K14" s="3">
        <f>published!K14-chase!K14</f>
        <v>-1.9849799581805883E-10</v>
      </c>
      <c r="L14" s="3">
        <f>published!L14-chase!L14</f>
        <v>-3.1003390132955388E-10</v>
      </c>
      <c r="M14" s="3">
        <f>published!M14-chase!M14</f>
        <v>0</v>
      </c>
      <c r="N14" s="3">
        <f>published!N14-chase!N14</f>
        <v>0</v>
      </c>
      <c r="O14" s="3">
        <f>published!O14-chase!O14</f>
        <v>0</v>
      </c>
      <c r="P14" s="3">
        <f>published!P14-chase!P14</f>
        <v>3.174859593974011E-10</v>
      </c>
      <c r="Q14" s="3">
        <f>published!Q14-chase!Q14</f>
        <v>4.1446407300659883E-11</v>
      </c>
      <c r="R14" s="3">
        <f>published!R14-chase!R14</f>
        <v>1.4392583999600639E-10</v>
      </c>
      <c r="S14" s="3">
        <f>published!S14-chase!S14</f>
        <v>4.8661196946908625E-10</v>
      </c>
      <c r="T14" s="3">
        <f>published!T14-chase!T14</f>
        <v>2.0227128999517063E-10</v>
      </c>
      <c r="U14" s="3">
        <f>published!U14-chase!U14</f>
        <v>2.135424996552171E-10</v>
      </c>
      <c r="V14" s="3">
        <f>published!V14-chase!V14</f>
        <v>2.4229736598178897E-10</v>
      </c>
      <c r="W14" s="3">
        <f>published!W14-chase!W14</f>
        <v>-1.3690401590160661E-10</v>
      </c>
      <c r="X14" s="3">
        <f>published!X14-chase!X14</f>
        <v>7.1453801209209189E-11</v>
      </c>
      <c r="Y14" s="3">
        <f>published!Y14-chase!Y14</f>
        <v>0.1254107678897938</v>
      </c>
      <c r="Z14" s="3">
        <f>published!Z14-chase!Z14</f>
        <v>-3.3307198665788462E-10</v>
      </c>
      <c r="AA14" s="3">
        <f>published!AA14-chase!AA14</f>
        <v>6.539286883614992E-3</v>
      </c>
      <c r="AB14" s="3">
        <f>published!AB14-chase!AB14</f>
        <v>2.4320560149115877E-10</v>
      </c>
      <c r="AC14" s="3">
        <f>published!AC14-chase!AC14</f>
        <v>6.5381096086338936E-3</v>
      </c>
      <c r="AD14" s="3">
        <f>published!AD14-chase!AD14</f>
        <v>0.13194887816535539</v>
      </c>
      <c r="AE14" s="3">
        <f>published!AE14-chase!AE14</f>
        <v>0.18379288453581061</v>
      </c>
    </row>
    <row r="15" spans="1:31" x14ac:dyDescent="0.35">
      <c r="A15" t="s">
        <v>46</v>
      </c>
      <c r="B15" t="s">
        <v>42</v>
      </c>
      <c r="C15">
        <v>0</v>
      </c>
      <c r="D15" s="5">
        <f>published!D15-chase!D15</f>
        <v>7.0029299670786707E-2</v>
      </c>
      <c r="E15" s="3">
        <f>published!E15-chase!E15</f>
        <v>3.3791699993734881E-10</v>
      </c>
      <c r="F15" s="3">
        <f>published!F15-chase!F15</f>
        <v>-6.6805005971559694E-11</v>
      </c>
      <c r="G15" s="3">
        <f>published!G15-chase!G15</f>
        <v>-7.501979940038872E-11</v>
      </c>
      <c r="H15" s="5">
        <f>published!H15-chase!H15</f>
        <v>1.0527396755279694E-2</v>
      </c>
      <c r="I15" s="3">
        <f>published!I15-chase!I15</f>
        <v>-9.8575397844413715E-11</v>
      </c>
      <c r="J15" s="3">
        <f>published!J15-chase!J15</f>
        <v>2.7577937026027066E-10</v>
      </c>
      <c r="K15" s="3">
        <f>published!K15-chase!K15</f>
        <v>-1.1126428944852051E-10</v>
      </c>
      <c r="L15" s="3">
        <f>published!L15-chase!L15</f>
        <v>-9.3492890512747451E-11</v>
      </c>
      <c r="M15" s="3">
        <f>published!M15-chase!M15</f>
        <v>0</v>
      </c>
      <c r="N15" s="3">
        <f>published!N15-chase!N15</f>
        <v>0</v>
      </c>
      <c r="O15" s="3">
        <f>published!O15-chase!O15</f>
        <v>0</v>
      </c>
      <c r="P15" s="3">
        <f>published!P15-chase!P15</f>
        <v>-1.4032343950004522E-10</v>
      </c>
      <c r="Q15" s="3">
        <f>published!Q15-chase!Q15</f>
        <v>-3.8662585069224042E-11</v>
      </c>
      <c r="R15" s="3">
        <f>published!R15-chase!R15</f>
        <v>3.5198164998959114E-10</v>
      </c>
      <c r="S15" s="3">
        <f>published!S15-chase!S15</f>
        <v>4.980211200031337E-10</v>
      </c>
      <c r="T15" s="3">
        <f>published!T15-chase!T15</f>
        <v>-2.0574864988825992E-10</v>
      </c>
      <c r="U15" s="3">
        <f>published!U15-chase!U15</f>
        <v>-4.0411689966601827E-10</v>
      </c>
      <c r="V15" s="3">
        <f>published!V15-chase!V15</f>
        <v>2.3032022301730862E-10</v>
      </c>
      <c r="W15" s="3">
        <f>published!W15-chase!W15</f>
        <v>2.8806101948219975E-10</v>
      </c>
      <c r="X15" s="3">
        <f>published!X15-chase!X15</f>
        <v>-3.6136088045479742E-10</v>
      </c>
      <c r="Y15" s="3">
        <f>published!Y15-chase!Y15</f>
        <v>7.002930047900699E-2</v>
      </c>
      <c r="Z15" s="3">
        <f>published!Z15-chase!Z15</f>
        <v>-4.7030301875139457E-10</v>
      </c>
      <c r="AA15" s="3">
        <f>published!AA15-chase!AA15</f>
        <v>1.0528657403758399E-2</v>
      </c>
      <c r="AB15" s="3">
        <f>published!AB15-chase!AB15</f>
        <v>3.4300770557216254E-10</v>
      </c>
      <c r="AC15" s="3">
        <f>published!AC15-chase!AC15</f>
        <v>1.0520833163247222E-2</v>
      </c>
      <c r="AD15" s="3">
        <f>published!AD15-chase!AD15</f>
        <v>8.0550133171951033E-2</v>
      </c>
      <c r="AE15" s="3">
        <f>published!AE15-chase!AE15</f>
        <v>0.13960723404092598</v>
      </c>
    </row>
    <row r="16" spans="1:31" x14ac:dyDescent="0.35">
      <c r="A16" t="s">
        <v>47</v>
      </c>
      <c r="B16" t="s">
        <v>42</v>
      </c>
      <c r="C16">
        <v>0</v>
      </c>
      <c r="D16" s="5">
        <f>published!D16-chase!D16</f>
        <v>-6.4345263645980144E-3</v>
      </c>
      <c r="E16" s="3">
        <f>published!E16-chase!E16</f>
        <v>3.9111991423368409E-11</v>
      </c>
      <c r="F16" s="3">
        <f>published!F16-chase!F16</f>
        <v>-4.4007940347423613E-10</v>
      </c>
      <c r="G16" s="3">
        <f>published!G16-chase!G16</f>
        <v>6.4978300517992693E-11</v>
      </c>
      <c r="H16" s="5">
        <f>published!H16-chase!H16</f>
        <v>9.7510699231884018E-3</v>
      </c>
      <c r="I16" s="3">
        <f>published!I16-chase!I16</f>
        <v>-3.7479840064857939E-10</v>
      </c>
      <c r="J16" s="3">
        <f>published!J16-chase!J16</f>
        <v>4.0727830049464009E-10</v>
      </c>
      <c r="K16" s="3">
        <f>published!K16-chase!K16</f>
        <v>8.5828399942755595E-11</v>
      </c>
      <c r="L16" s="3">
        <f>published!L16-chase!L16</f>
        <v>6.8265570279946175E-11</v>
      </c>
      <c r="M16" s="3">
        <f>published!M16-chase!M16</f>
        <v>0</v>
      </c>
      <c r="N16" s="3">
        <f>published!N16-chase!N16</f>
        <v>0</v>
      </c>
      <c r="O16" s="3">
        <f>published!O16-chase!O16</f>
        <v>0</v>
      </c>
      <c r="P16" s="3">
        <f>published!P16-chase!P16</f>
        <v>2.3735050990597584E-10</v>
      </c>
      <c r="Q16" s="3">
        <f>published!Q16-chase!Q16</f>
        <v>-5.3660800195670655E-11</v>
      </c>
      <c r="R16" s="3">
        <f>published!R16-chase!R16</f>
        <v>2.3073872001434792E-10</v>
      </c>
      <c r="S16" s="3">
        <f>published!S16-chase!S16</f>
        <v>-3.09106540277021E-10</v>
      </c>
      <c r="T16" s="3">
        <f>published!T16-chase!T16</f>
        <v>2.2792428014395405E-10</v>
      </c>
      <c r="U16" s="3">
        <f>published!U16-chase!U16</f>
        <v>3.6838099931602031E-10</v>
      </c>
      <c r="V16" s="3">
        <f>published!V16-chase!V16</f>
        <v>4.7752006016900383E-11</v>
      </c>
      <c r="W16" s="3">
        <f>published!W16-chase!W16</f>
        <v>8.8856005886484013E-11</v>
      </c>
      <c r="X16" s="3">
        <f>published!X16-chase!X16</f>
        <v>-2.5766731023141309E-10</v>
      </c>
      <c r="Y16" s="3">
        <f>published!Y16-chase!Y16</f>
        <v>-6.4345261106699969E-3</v>
      </c>
      <c r="Z16" s="3">
        <f>published!Z16-chase!Z16</f>
        <v>-2.1481599832284815E-10</v>
      </c>
      <c r="AA16" s="3">
        <f>published!AA16-chase!AA16</f>
        <v>9.7621145368271996E-3</v>
      </c>
      <c r="AB16" s="3">
        <f>published!AB16-chase!AB16</f>
        <v>2.8959561138020007E-10</v>
      </c>
      <c r="AC16" s="3">
        <f>published!AC16-chase!AC16</f>
        <v>9.7549081669128929E-3</v>
      </c>
      <c r="AD16" s="3">
        <f>published!AD16-chase!AD16</f>
        <v>3.3203828414269942E-3</v>
      </c>
      <c r="AE16" s="3">
        <f>published!AE16-chase!AE16</f>
        <v>0.1059813939842188</v>
      </c>
    </row>
    <row r="17" spans="1:31" x14ac:dyDescent="0.35">
      <c r="A17" t="s">
        <v>48</v>
      </c>
      <c r="B17" t="s">
        <v>42</v>
      </c>
      <c r="C17">
        <v>0</v>
      </c>
      <c r="D17" s="5">
        <f>published!D17-chase!D17</f>
        <v>-8.6757823934715053E-3</v>
      </c>
      <c r="E17" s="3">
        <f>published!E17-chase!E17</f>
        <v>1.0867901023559057E-10</v>
      </c>
      <c r="F17" s="3">
        <f>published!F17-chase!F17</f>
        <v>-2.0797799593630373E-10</v>
      </c>
      <c r="G17" s="3">
        <f>published!G17-chase!G17</f>
        <v>8.3389399552213916E-11</v>
      </c>
      <c r="H17" s="5">
        <f>published!H17-chase!H17</f>
        <v>-5.0727901804060033E-3</v>
      </c>
      <c r="I17" s="3">
        <f>published!I17-chase!I17</f>
        <v>-4.8282300380009247E-10</v>
      </c>
      <c r="J17" s="3">
        <f>published!J17-chase!J17</f>
        <v>1.0089430159399004E-11</v>
      </c>
      <c r="K17" s="3">
        <f>published!K17-chase!K17</f>
        <v>-3.604513996308123E-10</v>
      </c>
      <c r="L17" s="3">
        <f>published!L17-chase!L17</f>
        <v>-7.3165600314450963E-11</v>
      </c>
      <c r="M17" s="3">
        <f>published!M17-chase!M17</f>
        <v>0</v>
      </c>
      <c r="N17" s="3">
        <f>published!N17-chase!N17</f>
        <v>0</v>
      </c>
      <c r="O17" s="3">
        <f>published!O17-chase!O17</f>
        <v>0</v>
      </c>
      <c r="P17" s="3">
        <f>published!P17-chase!P17</f>
        <v>2.6451339816407904E-11</v>
      </c>
      <c r="Q17" s="3">
        <f>published!Q17-chase!Q17</f>
        <v>-2.013712898686626E-10</v>
      </c>
      <c r="R17" s="3">
        <f>published!R17-chase!R17</f>
        <v>4.0321119978026926E-11</v>
      </c>
      <c r="S17" s="3">
        <f>published!S17-chase!S17</f>
        <v>-6.8730859979077019E-11</v>
      </c>
      <c r="T17" s="3">
        <f>published!T17-chase!T17</f>
        <v>1.7667672012888769E-10</v>
      </c>
      <c r="U17" s="3">
        <f>published!U17-chase!U17</f>
        <v>4.6198760095261804E-10</v>
      </c>
      <c r="V17" s="3">
        <f>published!V17-chase!V17</f>
        <v>4.5836126300741187E-10</v>
      </c>
      <c r="W17" s="3">
        <f>published!W17-chase!W17</f>
        <v>2.0879899198522622E-10</v>
      </c>
      <c r="X17" s="3">
        <f>published!X17-chase!X17</f>
        <v>-3.6598118025726878E-10</v>
      </c>
      <c r="Y17" s="3">
        <f>published!Y17-chase!Y17</f>
        <v>-8.675782400076007E-3</v>
      </c>
      <c r="Z17" s="3">
        <f>published!Z17-chase!Z17</f>
        <v>1.1528400456484178E-10</v>
      </c>
      <c r="AA17" s="3">
        <f>published!AA17-chase!AA17</f>
        <v>-5.092824518061978E-3</v>
      </c>
      <c r="AB17" s="3">
        <f>published!AB17-chase!AB17</f>
        <v>-3.7337810621096423E-10</v>
      </c>
      <c r="AC17" s="3">
        <f>published!AC17-chase!AC17</f>
        <v>-5.0881267057300006E-3</v>
      </c>
      <c r="AD17" s="3">
        <f>published!AD17-chase!AD17</f>
        <v>-1.3763908990522045E-2</v>
      </c>
      <c r="AE17" s="3">
        <f>published!AE17-chase!AE17</f>
        <v>5.0513871047052961E-2</v>
      </c>
    </row>
    <row r="18" spans="1:31" x14ac:dyDescent="0.35">
      <c r="A18" t="s">
        <v>49</v>
      </c>
      <c r="B18" t="s">
        <v>42</v>
      </c>
      <c r="C18">
        <v>0</v>
      </c>
      <c r="D18" s="5">
        <f>published!D18-chase!D18</f>
        <v>-8.4704578795069957E-3</v>
      </c>
      <c r="E18" s="3">
        <f>published!E18-chase!E18</f>
        <v>1.3331999393351168E-10</v>
      </c>
      <c r="F18" s="3">
        <f>published!F18-chase!F18</f>
        <v>-3.2682959810736989E-10</v>
      </c>
      <c r="G18" s="3">
        <f>published!G18-chase!G18</f>
        <v>-1.0408299222497419E-11</v>
      </c>
      <c r="H18" s="5">
        <f>published!H18-chase!H18</f>
        <v>-5.5625320856531046E-4</v>
      </c>
      <c r="I18" s="3">
        <f>published!I18-chase!I18</f>
        <v>-3.1629904251317953E-10</v>
      </c>
      <c r="J18" s="3">
        <f>published!J18-chase!J18</f>
        <v>3.5817380311664593E-11</v>
      </c>
      <c r="K18" s="3">
        <f>published!K18-chase!K18</f>
        <v>2.4194520085313309E-10</v>
      </c>
      <c r="L18" s="3">
        <f>published!L18-chase!L18</f>
        <v>3.3376740087021073E-10</v>
      </c>
      <c r="M18" s="3">
        <f>published!M18-chase!M18</f>
        <v>0</v>
      </c>
      <c r="N18" s="3">
        <f>published!N18-chase!N18</f>
        <v>0</v>
      </c>
      <c r="O18" s="3">
        <f>published!O18-chase!O18</f>
        <v>0</v>
      </c>
      <c r="P18" s="3">
        <f>published!P18-chase!P18</f>
        <v>4.6505100703524149E-10</v>
      </c>
      <c r="Q18" s="3">
        <f>published!Q18-chase!Q18</f>
        <v>1.7767310019067839E-10</v>
      </c>
      <c r="R18" s="3">
        <f>published!R18-chase!R18</f>
        <v>4.755227269890791E-10</v>
      </c>
      <c r="S18" s="3">
        <f>published!S18-chase!S18</f>
        <v>3.9962455003136887E-10</v>
      </c>
      <c r="T18" s="3">
        <f>published!T18-chase!T18</f>
        <v>-1.318852798238429E-10</v>
      </c>
      <c r="U18" s="3">
        <f>published!U18-chase!U18</f>
        <v>3.7032550984084089E-10</v>
      </c>
      <c r="V18" s="3">
        <f>published!V18-chase!V18</f>
        <v>4.3588785001141134E-10</v>
      </c>
      <c r="W18" s="3">
        <f>published!W18-chase!W18</f>
        <v>-3.2602079369503656E-10</v>
      </c>
      <c r="X18" s="3">
        <f>published!X18-chase!X18</f>
        <v>4.3557229004176357E-10</v>
      </c>
      <c r="Y18" s="3">
        <f>published!Y18-chase!Y18</f>
        <v>-8.4704578135700037E-3</v>
      </c>
      <c r="Z18" s="3">
        <f>published!Z18-chase!Z18</f>
        <v>6.7383015833755167E-11</v>
      </c>
      <c r="AA18" s="3">
        <f>published!AA18-chase!AA18</f>
        <v>-5.5810919192197939E-4</v>
      </c>
      <c r="AB18" s="3">
        <f>published!AB18-chase!AB18</f>
        <v>-2.3781419888901922E-10</v>
      </c>
      <c r="AC18" s="3">
        <f>published!AC18-chase!AC18</f>
        <v>-5.5761611725499427E-4</v>
      </c>
      <c r="AD18" s="3">
        <f>published!AD18-chase!AD18</f>
        <v>-9.0280738634420099E-3</v>
      </c>
      <c r="AE18" s="3">
        <f>published!AE18-chase!AE18</f>
        <v>1.5269633289853979E-2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8DDB3-9373-4088-AB4E-2D1A16FD5B2A}">
  <dimension ref="A1:AC18"/>
  <sheetViews>
    <sheetView tabSelected="1" zoomScale="110" zoomScaleNormal="110" workbookViewId="0">
      <pane xSplit="1" topLeftCell="F1" activePane="topRight" state="frozen"/>
      <selection pane="topRight" activeCell="AC9" sqref="AC9"/>
    </sheetView>
  </sheetViews>
  <sheetFormatPr defaultRowHeight="14.5" x14ac:dyDescent="0.35"/>
  <sheetData>
    <row r="1" spans="1:29" ht="87" x14ac:dyDescent="0.3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50</v>
      </c>
    </row>
    <row r="2" spans="1:29" x14ac:dyDescent="0.35">
      <c r="A2" t="s">
        <v>31</v>
      </c>
      <c r="B2">
        <f>published!D2-'back from june'!D2</f>
        <v>0</v>
      </c>
      <c r="C2">
        <f>published!E2-'back from june'!E2</f>
        <v>0</v>
      </c>
      <c r="D2">
        <f>published!F2-'back from june'!F2</f>
        <v>0</v>
      </c>
      <c r="E2">
        <f>published!G2-'back from june'!G2</f>
        <v>0</v>
      </c>
      <c r="F2">
        <v>0</v>
      </c>
      <c r="G2">
        <f>published!I2-'back from june'!I2</f>
        <v>0</v>
      </c>
      <c r="H2">
        <f>published!J2-'back from june'!J2</f>
        <v>0</v>
      </c>
      <c r="I2">
        <f>published!K2-'back from june'!K2</f>
        <v>0</v>
      </c>
      <c r="J2">
        <f>published!L2-'back from june'!L2</f>
        <v>0</v>
      </c>
      <c r="K2">
        <f>published!M2-'back from june'!M2</f>
        <v>0</v>
      </c>
      <c r="L2">
        <f>published!N2-'back from june'!N2</f>
        <v>0</v>
      </c>
      <c r="M2">
        <f>published!O2-'back from june'!O2</f>
        <v>0</v>
      </c>
      <c r="N2">
        <f>published!P2-'back from june'!P2</f>
        <v>0</v>
      </c>
      <c r="O2">
        <f>published!Q2-'back from june'!Q2</f>
        <v>0</v>
      </c>
      <c r="P2">
        <f>published!R2-'back from june'!R2</f>
        <v>0</v>
      </c>
      <c r="Q2">
        <f>published!S2-'back from june'!S2</f>
        <v>0</v>
      </c>
      <c r="R2">
        <f>published!T2-'back from june'!T2</f>
        <v>0</v>
      </c>
      <c r="S2">
        <f>published!U2-'back from june'!U2</f>
        <v>0</v>
      </c>
      <c r="T2">
        <f>published!V2-'back from june'!V2</f>
        <v>0</v>
      </c>
      <c r="U2">
        <f>published!W2-'back from june'!W2</f>
        <v>0</v>
      </c>
      <c r="V2">
        <f>published!X2-'back from june'!X2</f>
        <v>0</v>
      </c>
      <c r="W2">
        <f>published!Y2-'back from june'!Y2</f>
        <v>0</v>
      </c>
      <c r="X2">
        <f>published!Z2-'back from june'!Z2</f>
        <v>0</v>
      </c>
      <c r="Y2">
        <v>0</v>
      </c>
      <c r="Z2">
        <f>published!AB2-'back from june'!AB2</f>
        <v>0</v>
      </c>
      <c r="AA2">
        <v>0</v>
      </c>
      <c r="AB2">
        <v>0</v>
      </c>
    </row>
    <row r="3" spans="1:29" x14ac:dyDescent="0.35">
      <c r="A3" t="s">
        <v>33</v>
      </c>
      <c r="B3">
        <f>published!D3-'back from june'!D3</f>
        <v>0</v>
      </c>
      <c r="C3">
        <f>published!E3-'back from june'!E3</f>
        <v>0</v>
      </c>
      <c r="D3">
        <f>published!F3-'back from june'!F3</f>
        <v>0</v>
      </c>
      <c r="E3">
        <f>published!G3-'back from june'!G3</f>
        <v>0</v>
      </c>
      <c r="F3">
        <v>0</v>
      </c>
      <c r="G3">
        <f>published!I3-'back from june'!I3</f>
        <v>0</v>
      </c>
      <c r="H3">
        <f>published!J3-'back from june'!J3</f>
        <v>0</v>
      </c>
      <c r="I3">
        <f>published!K3-'back from june'!K3</f>
        <v>0</v>
      </c>
      <c r="J3">
        <f>published!L3-'back from june'!L3</f>
        <v>0</v>
      </c>
      <c r="K3">
        <f>published!M3-'back from june'!M3</f>
        <v>0</v>
      </c>
      <c r="L3">
        <f>published!N3-'back from june'!N3</f>
        <v>0</v>
      </c>
      <c r="M3">
        <f>published!O3-'back from june'!O3</f>
        <v>0</v>
      </c>
      <c r="N3">
        <f>published!P3-'back from june'!P3</f>
        <v>0</v>
      </c>
      <c r="O3">
        <f>published!Q3-'back from june'!Q3</f>
        <v>0</v>
      </c>
      <c r="P3">
        <f>published!R3-'back from june'!R3</f>
        <v>0</v>
      </c>
      <c r="Q3">
        <f>published!S3-'back from june'!S3</f>
        <v>0</v>
      </c>
      <c r="R3">
        <f>published!T3-'back from june'!T3</f>
        <v>0</v>
      </c>
      <c r="S3">
        <f>published!U3-'back from june'!U3</f>
        <v>0</v>
      </c>
      <c r="T3">
        <f>published!V3-'back from june'!V3</f>
        <v>0</v>
      </c>
      <c r="U3">
        <f>published!W3-'back from june'!W3</f>
        <v>0</v>
      </c>
      <c r="V3">
        <f>published!X3-'back from june'!X3</f>
        <v>0</v>
      </c>
      <c r="W3">
        <f>published!Y3-'back from june'!Y3</f>
        <v>0</v>
      </c>
      <c r="X3">
        <f>published!Z3-'back from june'!Z3</f>
        <v>0</v>
      </c>
      <c r="Y3">
        <v>0</v>
      </c>
      <c r="Z3">
        <f>published!AB3-'back from june'!AB3</f>
        <v>0</v>
      </c>
      <c r="AA3">
        <v>0</v>
      </c>
      <c r="AB3">
        <v>0</v>
      </c>
    </row>
    <row r="4" spans="1:29" x14ac:dyDescent="0.35">
      <c r="A4" t="s">
        <v>34</v>
      </c>
      <c r="B4">
        <f>published!D4-'back from june'!D4</f>
        <v>0</v>
      </c>
      <c r="C4">
        <f>published!E4-'back from june'!E4</f>
        <v>0</v>
      </c>
      <c r="D4">
        <f>published!F4-'back from june'!F4</f>
        <v>0</v>
      </c>
      <c r="E4">
        <f>published!G4-'back from june'!G4</f>
        <v>0</v>
      </c>
      <c r="F4">
        <v>0</v>
      </c>
      <c r="G4">
        <f>published!I4-'back from june'!I4</f>
        <v>0</v>
      </c>
      <c r="H4">
        <f>published!J4-'back from june'!J4</f>
        <v>0</v>
      </c>
      <c r="I4">
        <f>published!K4-'back from june'!K4</f>
        <v>0</v>
      </c>
      <c r="J4">
        <f>published!L4-'back from june'!L4</f>
        <v>0</v>
      </c>
      <c r="K4">
        <f>published!M4-'back from june'!M4</f>
        <v>0</v>
      </c>
      <c r="L4">
        <f>published!N4-'back from june'!N4</f>
        <v>0</v>
      </c>
      <c r="M4">
        <f>published!O4-'back from june'!O4</f>
        <v>0</v>
      </c>
      <c r="N4">
        <f>published!P4-'back from june'!P4</f>
        <v>0</v>
      </c>
      <c r="O4">
        <f>published!Q4-'back from june'!Q4</f>
        <v>0</v>
      </c>
      <c r="P4">
        <f>published!R4-'back from june'!R4</f>
        <v>0</v>
      </c>
      <c r="Q4">
        <f>published!S4-'back from june'!S4</f>
        <v>0</v>
      </c>
      <c r="R4">
        <f>published!T4-'back from june'!T4</f>
        <v>0</v>
      </c>
      <c r="S4">
        <f>published!U4-'back from june'!U4</f>
        <v>0</v>
      </c>
      <c r="T4">
        <f>published!V4-'back from june'!V4</f>
        <v>0</v>
      </c>
      <c r="U4">
        <f>published!W4-'back from june'!W4</f>
        <v>0</v>
      </c>
      <c r="V4">
        <f>published!X4-'back from june'!X4</f>
        <v>0</v>
      </c>
      <c r="W4">
        <f>published!Y4-'back from june'!Y4</f>
        <v>0</v>
      </c>
      <c r="X4">
        <f>published!Z4-'back from june'!Z4</f>
        <v>0</v>
      </c>
      <c r="Y4">
        <v>0</v>
      </c>
      <c r="Z4">
        <f>published!AB4-'back from june'!AB4</f>
        <v>0</v>
      </c>
      <c r="AA4">
        <v>0</v>
      </c>
      <c r="AB4">
        <v>0</v>
      </c>
    </row>
    <row r="5" spans="1:29" x14ac:dyDescent="0.35">
      <c r="A5" t="s">
        <v>35</v>
      </c>
      <c r="B5">
        <f>published!D5-'back from june'!D5</f>
        <v>0</v>
      </c>
      <c r="C5">
        <f>published!E5-'back from june'!E5</f>
        <v>0</v>
      </c>
      <c r="D5">
        <f>published!F5-'back from june'!F5</f>
        <v>0</v>
      </c>
      <c r="E5">
        <f>published!G5-'back from june'!G5</f>
        <v>0</v>
      </c>
      <c r="F5">
        <v>0</v>
      </c>
      <c r="G5">
        <f>published!I5-'back from june'!I5</f>
        <v>0</v>
      </c>
      <c r="H5">
        <f>published!J5-'back from june'!J5</f>
        <v>0</v>
      </c>
      <c r="I5">
        <f>published!K5-'back from june'!K5</f>
        <v>0</v>
      </c>
      <c r="J5">
        <f>published!L5-'back from june'!L5</f>
        <v>0</v>
      </c>
      <c r="K5">
        <f>published!M5-'back from june'!M5</f>
        <v>0</v>
      </c>
      <c r="L5">
        <f>published!N5-'back from june'!N5</f>
        <v>0</v>
      </c>
      <c r="M5">
        <f>published!O5-'back from june'!O5</f>
        <v>0</v>
      </c>
      <c r="N5">
        <f>published!P5-'back from june'!P5</f>
        <v>0</v>
      </c>
      <c r="O5">
        <f>published!Q5-'back from june'!Q5</f>
        <v>0</v>
      </c>
      <c r="P5">
        <f>published!R5-'back from june'!R5</f>
        <v>0</v>
      </c>
      <c r="Q5">
        <f>published!S5-'back from june'!S5</f>
        <v>0</v>
      </c>
      <c r="R5">
        <f>published!T5-'back from june'!T5</f>
        <v>0</v>
      </c>
      <c r="S5">
        <f>published!U5-'back from june'!U5</f>
        <v>0</v>
      </c>
      <c r="T5">
        <f>published!V5-'back from june'!V5</f>
        <v>0</v>
      </c>
      <c r="U5">
        <f>published!W5-'back from june'!W5</f>
        <v>0</v>
      </c>
      <c r="V5">
        <f>published!X5-'back from june'!X5</f>
        <v>0</v>
      </c>
      <c r="W5">
        <f>published!Y5-'back from june'!Y5</f>
        <v>0</v>
      </c>
      <c r="X5">
        <f>published!Z5-'back from june'!Z5</f>
        <v>0</v>
      </c>
      <c r="Y5">
        <v>0</v>
      </c>
      <c r="Z5">
        <f>published!AB5-'back from june'!AB5</f>
        <v>0</v>
      </c>
      <c r="AA5">
        <v>0</v>
      </c>
      <c r="AB5">
        <v>0</v>
      </c>
    </row>
    <row r="6" spans="1:29" x14ac:dyDescent="0.35">
      <c r="A6" t="s">
        <v>36</v>
      </c>
      <c r="B6">
        <f>published!D6-'back from june'!D6</f>
        <v>0</v>
      </c>
      <c r="C6">
        <f>published!E6-'back from june'!E6</f>
        <v>0</v>
      </c>
      <c r="D6">
        <f>published!F6-'back from june'!F6</f>
        <v>0</v>
      </c>
      <c r="E6">
        <f>published!G6-'back from june'!G6</f>
        <v>0</v>
      </c>
      <c r="F6">
        <v>0</v>
      </c>
      <c r="G6">
        <f>published!I6-'back from june'!I6</f>
        <v>0</v>
      </c>
      <c r="H6">
        <f>published!J6-'back from june'!J6</f>
        <v>0</v>
      </c>
      <c r="I6">
        <f>published!K6-'back from june'!K6</f>
        <v>0</v>
      </c>
      <c r="J6">
        <f>published!L6-'back from june'!L6</f>
        <v>0</v>
      </c>
      <c r="K6">
        <f>published!M6-'back from june'!M6</f>
        <v>0</v>
      </c>
      <c r="L6">
        <f>published!N6-'back from june'!N6</f>
        <v>0</v>
      </c>
      <c r="M6">
        <f>published!O6-'back from june'!O6</f>
        <v>0</v>
      </c>
      <c r="N6">
        <f>published!P6-'back from june'!P6</f>
        <v>0</v>
      </c>
      <c r="O6">
        <f>published!Q6-'back from june'!Q6</f>
        <v>0</v>
      </c>
      <c r="P6">
        <f>published!R6-'back from june'!R6</f>
        <v>0</v>
      </c>
      <c r="Q6">
        <f>published!S6-'back from june'!S6</f>
        <v>0</v>
      </c>
      <c r="R6">
        <f>published!T6-'back from june'!T6</f>
        <v>0</v>
      </c>
      <c r="S6">
        <f>published!U6-'back from june'!U6</f>
        <v>0</v>
      </c>
      <c r="T6">
        <f>published!V6-'back from june'!V6</f>
        <v>0</v>
      </c>
      <c r="U6">
        <f>published!W6-'back from june'!W6</f>
        <v>0</v>
      </c>
      <c r="V6">
        <f>published!X6-'back from june'!X6</f>
        <v>0</v>
      </c>
      <c r="W6">
        <f>published!Y6-'back from june'!Y6</f>
        <v>0</v>
      </c>
      <c r="X6">
        <f>published!Z6-'back from june'!Z6</f>
        <v>0</v>
      </c>
      <c r="Y6">
        <v>0</v>
      </c>
      <c r="Z6">
        <f>published!AB6-'back from june'!AB6</f>
        <v>0</v>
      </c>
      <c r="AA6">
        <v>0</v>
      </c>
      <c r="AB6">
        <v>0</v>
      </c>
    </row>
    <row r="7" spans="1:29" x14ac:dyDescent="0.35">
      <c r="A7" t="s">
        <v>37</v>
      </c>
      <c r="B7">
        <f>published!D7-'back from june'!D7</f>
        <v>0</v>
      </c>
      <c r="C7">
        <f>published!E7-'back from june'!E7</f>
        <v>0</v>
      </c>
      <c r="D7">
        <f>published!F7-'back from june'!F7</f>
        <v>0</v>
      </c>
      <c r="E7">
        <f>published!G7-'back from june'!G7</f>
        <v>0</v>
      </c>
      <c r="F7">
        <v>0</v>
      </c>
      <c r="G7">
        <f>published!I7-'back from june'!I7</f>
        <v>0</v>
      </c>
      <c r="H7">
        <f>published!J7-'back from june'!J7</f>
        <v>0</v>
      </c>
      <c r="I7">
        <f>published!K7-'back from june'!K7</f>
        <v>0</v>
      </c>
      <c r="J7">
        <f>published!L7-'back from june'!L7</f>
        <v>0</v>
      </c>
      <c r="K7">
        <f>published!M7-'back from june'!M7</f>
        <v>0</v>
      </c>
      <c r="L7">
        <f>published!N7-'back from june'!N7</f>
        <v>0</v>
      </c>
      <c r="M7">
        <f>published!O7-'back from june'!O7</f>
        <v>0</v>
      </c>
      <c r="N7">
        <f>published!P7-'back from june'!P7</f>
        <v>0</v>
      </c>
      <c r="O7">
        <f>published!Q7-'back from june'!Q7</f>
        <v>0</v>
      </c>
      <c r="P7">
        <f>published!R7-'back from june'!R7</f>
        <v>0</v>
      </c>
      <c r="Q7">
        <f>published!S7-'back from june'!S7</f>
        <v>0</v>
      </c>
      <c r="R7">
        <f>published!T7-'back from june'!T7</f>
        <v>0</v>
      </c>
      <c r="S7">
        <f>published!U7-'back from june'!U7</f>
        <v>0</v>
      </c>
      <c r="T7">
        <f>published!V7-'back from june'!V7</f>
        <v>0</v>
      </c>
      <c r="U7">
        <f>published!W7-'back from june'!W7</f>
        <v>0</v>
      </c>
      <c r="V7">
        <f>published!X7-'back from june'!X7</f>
        <v>0</v>
      </c>
      <c r="W7">
        <f>published!Y7-'back from june'!Y7</f>
        <v>0</v>
      </c>
      <c r="X7">
        <f>published!Z7-'back from june'!Z7</f>
        <v>0</v>
      </c>
      <c r="Y7">
        <v>0</v>
      </c>
      <c r="Z7">
        <f>published!AB7-'back from june'!AB7</f>
        <v>0</v>
      </c>
      <c r="AA7">
        <v>0</v>
      </c>
      <c r="AB7">
        <v>0</v>
      </c>
    </row>
    <row r="8" spans="1:29" x14ac:dyDescent="0.35">
      <c r="A8" t="s">
        <v>38</v>
      </c>
      <c r="B8">
        <f>published!D8-'back from june'!D8</f>
        <v>0</v>
      </c>
      <c r="C8">
        <f>published!E8-'back from june'!E8</f>
        <v>0</v>
      </c>
      <c r="D8">
        <f>published!F8-'back from june'!F8</f>
        <v>0</v>
      </c>
      <c r="E8">
        <f>published!G8-'back from june'!G8</f>
        <v>0</v>
      </c>
      <c r="F8">
        <v>0</v>
      </c>
      <c r="G8">
        <f>published!I8-'back from june'!I8</f>
        <v>0</v>
      </c>
      <c r="H8">
        <f>published!J8-'back from june'!J8</f>
        <v>0</v>
      </c>
      <c r="I8">
        <f>published!K8-'back from june'!K8</f>
        <v>0</v>
      </c>
      <c r="J8">
        <f>published!L8-'back from june'!L8</f>
        <v>0</v>
      </c>
      <c r="K8">
        <f>published!M8-'back from june'!M8</f>
        <v>0</v>
      </c>
      <c r="L8">
        <f>published!N8-'back from june'!N8</f>
        <v>0</v>
      </c>
      <c r="M8">
        <f>published!O8-'back from june'!O8</f>
        <v>0</v>
      </c>
      <c r="N8">
        <f>published!P8-'back from june'!P8</f>
        <v>0</v>
      </c>
      <c r="O8">
        <f>published!Q8-'back from june'!Q8</f>
        <v>0</v>
      </c>
      <c r="P8">
        <f>published!R8-'back from june'!R8</f>
        <v>0</v>
      </c>
      <c r="Q8">
        <f>published!S8-'back from june'!S8</f>
        <v>0</v>
      </c>
      <c r="R8">
        <f>published!T8-'back from june'!T8</f>
        <v>0</v>
      </c>
      <c r="S8">
        <f>published!U8-'back from june'!U8</f>
        <v>0</v>
      </c>
      <c r="T8">
        <f>published!V8-'back from june'!V8</f>
        <v>0</v>
      </c>
      <c r="U8">
        <f>published!W8-'back from june'!W8</f>
        <v>0</v>
      </c>
      <c r="V8">
        <f>published!X8-'back from june'!X8</f>
        <v>0</v>
      </c>
      <c r="W8">
        <f>published!Y8-'back from june'!Y8</f>
        <v>0</v>
      </c>
      <c r="X8">
        <f>published!Z8-'back from june'!Z8</f>
        <v>0</v>
      </c>
      <c r="Y8">
        <v>0</v>
      </c>
      <c r="Z8">
        <f>published!AB8-'back from june'!AB8</f>
        <v>0</v>
      </c>
      <c r="AA8">
        <v>0</v>
      </c>
      <c r="AB8">
        <v>0</v>
      </c>
    </row>
    <row r="9" spans="1:29" x14ac:dyDescent="0.35">
      <c r="A9" t="s">
        <v>39</v>
      </c>
      <c r="B9">
        <f>published!D9-'back from june'!D9</f>
        <v>0</v>
      </c>
      <c r="C9">
        <f>published!E9-'back from june'!E9</f>
        <v>0</v>
      </c>
      <c r="D9">
        <f>published!F9-'back from june'!F9</f>
        <v>0</v>
      </c>
      <c r="E9">
        <f>published!G9-'back from june'!G9</f>
        <v>0</v>
      </c>
      <c r="F9">
        <v>0</v>
      </c>
      <c r="G9">
        <f>published!I9-'back from june'!I9</f>
        <v>0</v>
      </c>
      <c r="H9">
        <f>published!J9-'back from june'!J9</f>
        <v>0</v>
      </c>
      <c r="I9">
        <f>published!K9-'back from june'!K9</f>
        <v>0</v>
      </c>
      <c r="J9">
        <f>published!L9-'back from june'!L9</f>
        <v>0</v>
      </c>
      <c r="K9">
        <f>published!M9-'back from june'!M9</f>
        <v>0</v>
      </c>
      <c r="L9">
        <f>published!N9-'back from june'!N9</f>
        <v>0</v>
      </c>
      <c r="M9">
        <f>published!O9-'back from june'!O9</f>
        <v>0</v>
      </c>
      <c r="N9">
        <f>published!P9-'back from june'!P9</f>
        <v>0</v>
      </c>
      <c r="O9">
        <f>published!Q9-'back from june'!Q9</f>
        <v>0</v>
      </c>
      <c r="P9">
        <f>published!R9-'back from june'!R9</f>
        <v>0</v>
      </c>
      <c r="Q9">
        <f>published!S9-'back from june'!S9</f>
        <v>0</v>
      </c>
      <c r="R9">
        <f>published!T9-'back from june'!T9</f>
        <v>0</v>
      </c>
      <c r="S9">
        <f>published!U9-'back from june'!U9</f>
        <v>0</v>
      </c>
      <c r="T9">
        <f>published!V9-'back from june'!V9</f>
        <v>0</v>
      </c>
      <c r="U9">
        <f>published!W9-'back from june'!W9</f>
        <v>0</v>
      </c>
      <c r="V9">
        <f>published!X9-'back from june'!X9</f>
        <v>0</v>
      </c>
      <c r="W9">
        <f>published!Y9-'back from june'!Y9</f>
        <v>0</v>
      </c>
      <c r="X9">
        <f>published!Z9-'back from june'!Z9</f>
        <v>0</v>
      </c>
      <c r="Y9">
        <v>0</v>
      </c>
      <c r="Z9">
        <f>published!AB9-'back from june'!AB9</f>
        <v>0</v>
      </c>
      <c r="AA9">
        <v>0</v>
      </c>
      <c r="AB9">
        <v>0</v>
      </c>
    </row>
    <row r="10" spans="1:29" x14ac:dyDescent="0.35">
      <c r="A10" t="s">
        <v>40</v>
      </c>
      <c r="B10">
        <f>published!D10-'back from june'!D10</f>
        <v>0</v>
      </c>
      <c r="C10">
        <f>published!E10-'back from june'!E10</f>
        <v>0</v>
      </c>
      <c r="D10">
        <f>published!F10-'back from june'!F10</f>
        <v>0</v>
      </c>
      <c r="E10">
        <f>published!G10-'back from june'!G10</f>
        <v>0</v>
      </c>
      <c r="F10">
        <v>0</v>
      </c>
      <c r="G10">
        <f>published!I10-'back from june'!I10</f>
        <v>0</v>
      </c>
      <c r="H10">
        <f>published!J10-'back from june'!J10</f>
        <v>0</v>
      </c>
      <c r="I10">
        <f>published!K10-'back from june'!K10</f>
        <v>0</v>
      </c>
      <c r="J10">
        <f>published!L10-'back from june'!L10</f>
        <v>0</v>
      </c>
      <c r="K10">
        <f>published!M10-'back from june'!M10</f>
        <v>0</v>
      </c>
      <c r="L10">
        <f>published!N10-'back from june'!N10</f>
        <v>0</v>
      </c>
      <c r="M10">
        <f>published!O10-'back from june'!O10</f>
        <v>0</v>
      </c>
      <c r="N10">
        <f>published!P10-'back from june'!P10</f>
        <v>0</v>
      </c>
      <c r="O10">
        <f>published!Q10-'back from june'!Q10</f>
        <v>0</v>
      </c>
      <c r="P10">
        <f>published!R10-'back from june'!R10</f>
        <v>0</v>
      </c>
      <c r="Q10">
        <f>published!S10-'back from june'!S10</f>
        <v>0</v>
      </c>
      <c r="R10">
        <f>published!T10-'back from june'!T10</f>
        <v>0</v>
      </c>
      <c r="S10">
        <f>published!U10-'back from june'!U10</f>
        <v>0</v>
      </c>
      <c r="T10">
        <f>published!V10-'back from june'!V10</f>
        <v>0</v>
      </c>
      <c r="U10">
        <f>published!W10-'back from june'!W10</f>
        <v>0</v>
      </c>
      <c r="V10">
        <f>published!X10-'back from june'!X10</f>
        <v>0</v>
      </c>
      <c r="W10">
        <f>published!Y10-'back from june'!Y10</f>
        <v>0</v>
      </c>
      <c r="X10">
        <f>published!Z10-'back from june'!Z10</f>
        <v>0</v>
      </c>
      <c r="Y10">
        <v>0</v>
      </c>
      <c r="Z10">
        <f>published!AB10-'back from june'!AB10</f>
        <v>0</v>
      </c>
      <c r="AA10">
        <v>0</v>
      </c>
      <c r="AB10">
        <v>0</v>
      </c>
    </row>
    <row r="11" spans="1:29" x14ac:dyDescent="0.35">
      <c r="A11" t="s">
        <v>41</v>
      </c>
      <c r="B11">
        <f>published!D11-'back from june'!D11</f>
        <v>0.26333063607690299</v>
      </c>
      <c r="C11">
        <f>published!E11-'back from june'!E11</f>
        <v>0</v>
      </c>
      <c r="D11">
        <f>published!F11-'back from june'!F11</f>
        <v>0.18365965035809798</v>
      </c>
      <c r="E11">
        <f>published!G11-'back from june'!G11</f>
        <v>0</v>
      </c>
      <c r="F11">
        <f>published!H11-'back from june'!H11</f>
        <v>0.1743437730447594</v>
      </c>
      <c r="G11">
        <f>published!I11-'back from june'!I11</f>
        <v>0</v>
      </c>
      <c r="H11">
        <f>published!J11-'back from june'!J11</f>
        <v>0</v>
      </c>
      <c r="I11">
        <f>published!K11-'back from june'!K11</f>
        <v>0</v>
      </c>
      <c r="J11">
        <f>published!L11-'back from june'!L11</f>
        <v>0</v>
      </c>
      <c r="K11">
        <f>published!M11-'back from june'!M11</f>
        <v>0</v>
      </c>
      <c r="L11">
        <f>published!N11-'back from june'!N11</f>
        <v>0</v>
      </c>
      <c r="M11">
        <f>published!O11-'back from june'!O11</f>
        <v>0</v>
      </c>
      <c r="N11">
        <f>published!P11-'back from june'!P11</f>
        <v>0</v>
      </c>
      <c r="O11">
        <f>published!Q11-'back from june'!Q11</f>
        <v>0</v>
      </c>
      <c r="P11">
        <f>published!R11-'back from june'!R11</f>
        <v>0</v>
      </c>
      <c r="Q11">
        <f>published!S11-'back from june'!S11</f>
        <v>0</v>
      </c>
      <c r="R11">
        <f>published!T11-'back from june'!T11</f>
        <v>0</v>
      </c>
      <c r="S11">
        <f>published!U11-'back from june'!U11</f>
        <v>-2.9737507115553567E-2</v>
      </c>
      <c r="T11">
        <f>published!V11-'back from june'!V11</f>
        <v>0</v>
      </c>
      <c r="U11">
        <f>published!W11-'back from june'!W11</f>
        <v>1.2227309477794018E-2</v>
      </c>
      <c r="V11">
        <f>published!X11-'back from june'!X11</f>
        <v>5.9896172342132296E-3</v>
      </c>
      <c r="W11">
        <f>published!Y11-'back from june'!Y11</f>
        <v>0.26333063607690299</v>
      </c>
      <c r="X11">
        <f>published!Z11-'back from june'!Z11</f>
        <v>0</v>
      </c>
      <c r="Y11">
        <f>published!AA11-'back from june'!AA11</f>
        <v>0.357571621643963</v>
      </c>
      <c r="Z11">
        <f>published!AB11-'back from june'!AB11</f>
        <v>-1.1450396002126995E-2</v>
      </c>
      <c r="AA11">
        <f>published!AC11-'back from june'!AC11</f>
        <v>0.34495981320729296</v>
      </c>
      <c r="AB11">
        <f>published!AD11-'back from june'!AD11</f>
        <v>0.60829044928419396</v>
      </c>
    </row>
    <row r="12" spans="1:29" x14ac:dyDescent="0.35">
      <c r="A12" t="s">
        <v>43</v>
      </c>
      <c r="B12">
        <f>published!D12-'back from june'!D12</f>
        <v>0.1427653498416542</v>
      </c>
      <c r="C12">
        <f>published!E12-'back from june'!E12</f>
        <v>0</v>
      </c>
      <c r="D12">
        <f>published!F12-'back from june'!F12</f>
        <v>0.18022093745922499</v>
      </c>
      <c r="E12">
        <f>published!G12-'back from june'!G12</f>
        <v>0</v>
      </c>
      <c r="F12">
        <f>published!H12-'back from june'!H12</f>
        <v>5.6685934595305951E-2</v>
      </c>
      <c r="G12">
        <f>published!I12-'back from june'!I12</f>
        <v>0</v>
      </c>
      <c r="H12">
        <f>published!J12-'back from june'!J12</f>
        <v>0</v>
      </c>
      <c r="I12">
        <f>published!K12-'back from june'!K12</f>
        <v>-2.3895963543738991E-2</v>
      </c>
      <c r="J12">
        <f>published!L12-'back from june'!L12</f>
        <v>0</v>
      </c>
      <c r="K12">
        <f>published!M12-'back from june'!M12</f>
        <v>0</v>
      </c>
      <c r="L12">
        <f>published!N12-'back from june'!N12</f>
        <v>0</v>
      </c>
      <c r="M12">
        <f>published!O12-'back from june'!O12</f>
        <v>0</v>
      </c>
      <c r="N12">
        <f>published!P12-'back from june'!P12</f>
        <v>0</v>
      </c>
      <c r="O12">
        <f>published!Q12-'back from june'!Q12</f>
        <v>0</v>
      </c>
      <c r="P12">
        <f>published!R12-'back from june'!R12</f>
        <v>0</v>
      </c>
      <c r="Q12">
        <f>published!S12-'back from june'!S12</f>
        <v>0</v>
      </c>
      <c r="R12">
        <f>published!T12-'back from june'!T12</f>
        <v>0</v>
      </c>
      <c r="S12">
        <f>published!U12-'back from june'!U12</f>
        <v>-2.4636541875148129E-2</v>
      </c>
      <c r="T12">
        <f>published!V12-'back from june'!V12</f>
        <v>0</v>
      </c>
      <c r="U12">
        <f>published!W12-'back from june'!W12</f>
        <v>1.2031809656469994E-2</v>
      </c>
      <c r="V12">
        <f>published!X12-'back from june'!X12</f>
        <v>5.8626881424138997E-3</v>
      </c>
      <c r="W12">
        <f>published!Y12-'back from june'!Y12</f>
        <v>0.14276534984165409</v>
      </c>
      <c r="X12">
        <f>published!Z12-'back from june'!Z12</f>
        <v>0</v>
      </c>
      <c r="Y12">
        <f>published!AA12-'back from june'!AA12</f>
        <v>0.23677345153576398</v>
      </c>
      <c r="Z12">
        <f>published!AB12-'back from june'!AB12</f>
        <v>-3.053325822356695E-2</v>
      </c>
      <c r="AA12">
        <f>published!AC12-'back from june'!AC12</f>
        <v>0.20531237480570744</v>
      </c>
      <c r="AB12">
        <f>published!AD12-'back from june'!AD12</f>
        <v>0.34807772464736197</v>
      </c>
      <c r="AC12">
        <f>AVERAGE(AB9:AB12)</f>
        <v>0.23909204348288898</v>
      </c>
    </row>
    <row r="13" spans="1:29" x14ac:dyDescent="0.35">
      <c r="A13" t="s">
        <v>44</v>
      </c>
      <c r="B13">
        <f>published!D13-'back from june'!D13</f>
        <v>0.20092433237260948</v>
      </c>
      <c r="C13">
        <f>published!E13-'back from june'!E13</f>
        <v>0</v>
      </c>
      <c r="D13">
        <f>published!F13-'back from june'!F13</f>
        <v>0.19863776779387499</v>
      </c>
      <c r="E13">
        <f>published!G13-'back from june'!G13</f>
        <v>0</v>
      </c>
      <c r="F13">
        <f>published!H13-'back from june'!H13</f>
        <v>6.7150343823365016E-2</v>
      </c>
      <c r="G13">
        <f>published!I13-'back from june'!I13</f>
        <v>0</v>
      </c>
      <c r="H13">
        <f>published!J13-'back from june'!J13</f>
        <v>0</v>
      </c>
      <c r="I13">
        <f>published!K13-'back from june'!K13</f>
        <v>-2.3369787927268803E-2</v>
      </c>
      <c r="J13">
        <f>published!L13-'back from june'!L13</f>
        <v>0</v>
      </c>
      <c r="K13">
        <f>published!M13-'back from june'!M13</f>
        <v>0</v>
      </c>
      <c r="L13">
        <f>published!N13-'back from june'!N13</f>
        <v>0</v>
      </c>
      <c r="M13">
        <f>published!O13-'back from june'!O13</f>
        <v>0</v>
      </c>
      <c r="N13">
        <f>published!P13-'back from june'!P13</f>
        <v>0</v>
      </c>
      <c r="O13">
        <f>published!Q13-'back from june'!Q13</f>
        <v>0</v>
      </c>
      <c r="P13">
        <f>published!R13-'back from june'!R13</f>
        <v>0</v>
      </c>
      <c r="Q13">
        <f>published!S13-'back from june'!S13</f>
        <v>0</v>
      </c>
      <c r="R13">
        <f>published!T13-'back from june'!T13</f>
        <v>0</v>
      </c>
      <c r="S13">
        <f>published!U13-'back from june'!U13</f>
        <v>-2.2632416147263631E-2</v>
      </c>
      <c r="T13">
        <f>published!V13-'back from june'!V13</f>
        <v>0</v>
      </c>
      <c r="U13">
        <f>published!W13-'back from june'!W13</f>
        <v>1.1913277003405998E-2</v>
      </c>
      <c r="V13">
        <f>published!X13-'back from june'!X13</f>
        <v>5.8071165418723016E-3</v>
      </c>
      <c r="W13">
        <f>published!Y13-'back from june'!Y13</f>
        <v>0.2009243323726104</v>
      </c>
      <c r="X13">
        <f>published!Z13-'back from june'!Z13</f>
        <v>0</v>
      </c>
      <c r="Y13">
        <f>published!AA13-'back from june'!AA13</f>
        <v>0.26500173363615148</v>
      </c>
      <c r="Z13">
        <f>published!AB13-'back from june'!AB13</f>
        <v>-2.8154982582383026E-2</v>
      </c>
      <c r="AA13">
        <f>published!AC13-'back from june'!AC13</f>
        <v>0.23594661780644499</v>
      </c>
      <c r="AB13">
        <f>published!AD13-'back from june'!AD13</f>
        <v>0.4368709501790547</v>
      </c>
    </row>
    <row r="14" spans="1:29" x14ac:dyDescent="0.35">
      <c r="A14" t="s">
        <v>45</v>
      </c>
      <c r="B14">
        <f>published!D14-'back from june'!D14</f>
        <v>0.12541076800961129</v>
      </c>
      <c r="C14">
        <f>published!E14-'back from june'!E14</f>
        <v>0</v>
      </c>
      <c r="D14">
        <f>published!F14-'back from june'!F14</f>
        <v>0.19587325120638699</v>
      </c>
      <c r="E14">
        <f>published!G14-'back from june'!G14</f>
        <v>0</v>
      </c>
      <c r="F14">
        <f>published!H14-'back from june'!H14</f>
        <v>6.5017322777912903E-2</v>
      </c>
      <c r="G14">
        <f>published!I14-'back from june'!I14</f>
        <v>0</v>
      </c>
      <c r="H14">
        <f>published!J14-'back from june'!J14</f>
        <v>0</v>
      </c>
      <c r="I14">
        <f>published!K14-'back from june'!K14</f>
        <v>-2.299306402491999E-2</v>
      </c>
      <c r="J14">
        <f>published!L14-'back from june'!L14</f>
        <v>0</v>
      </c>
      <c r="K14">
        <f>published!M14-'back from june'!M14</f>
        <v>0</v>
      </c>
      <c r="L14">
        <f>published!N14-'back from june'!N14</f>
        <v>0</v>
      </c>
      <c r="M14">
        <f>published!O14-'back from june'!O14</f>
        <v>0</v>
      </c>
      <c r="N14">
        <f>published!P14-'back from june'!P14</f>
        <v>0</v>
      </c>
      <c r="O14">
        <f>published!Q14-'back from june'!Q14</f>
        <v>0</v>
      </c>
      <c r="P14">
        <f>published!R14-'back from june'!R14</f>
        <v>0</v>
      </c>
      <c r="Q14">
        <f>published!S14-'back from june'!S14</f>
        <v>0</v>
      </c>
      <c r="R14">
        <f>published!T14-'back from june'!T14</f>
        <v>0</v>
      </c>
      <c r="S14">
        <f>published!U14-'back from june'!U14</f>
        <v>-2.0777214803791078E-2</v>
      </c>
      <c r="T14">
        <f>published!V14-'back from june'!V14</f>
        <v>0</v>
      </c>
      <c r="U14">
        <f>published!W14-'back from june'!W14</f>
        <v>1.1883267650671991E-2</v>
      </c>
      <c r="V14">
        <f>published!X14-'back from june'!X14</f>
        <v>5.7588466678374015E-3</v>
      </c>
      <c r="W14">
        <f>published!Y14-'back from june'!Y14</f>
        <v>0.12541076800961079</v>
      </c>
      <c r="X14">
        <f>published!Z14-'back from june'!Z14</f>
        <v>0</v>
      </c>
      <c r="Y14">
        <f>published!AA14-'back from june'!AA14</f>
        <v>0.2602503798074467</v>
      </c>
      <c r="Z14">
        <f>published!AB14-'back from june'!AB14</f>
        <v>-2.6046165216257397E-2</v>
      </c>
      <c r="AA14">
        <f>published!AC14-'back from june'!AC14</f>
        <v>0.23414501430088192</v>
      </c>
      <c r="AB14">
        <f>published!AD14-'back from june'!AD14</f>
        <v>0.35955578231049334</v>
      </c>
    </row>
    <row r="15" spans="1:29" x14ac:dyDescent="0.35">
      <c r="A15" t="s">
        <v>46</v>
      </c>
      <c r="B15">
        <f>published!D15-'back from june'!D15</f>
        <v>7.0029300104018699E-2</v>
      </c>
      <c r="C15">
        <f>published!E15-'back from june'!E15</f>
        <v>0</v>
      </c>
      <c r="D15">
        <f>published!F15-'back from june'!F15</f>
        <v>0.13767018799153699</v>
      </c>
      <c r="E15">
        <f>published!G15-'back from june'!G15</f>
        <v>0</v>
      </c>
      <c r="F15">
        <f>published!H15-'back from june'!H15</f>
        <v>6.720211072115273E-2</v>
      </c>
      <c r="G15">
        <f>published!I15-'back from june'!I15</f>
        <v>0</v>
      </c>
      <c r="H15">
        <f>published!J15-'back from june'!J15</f>
        <v>0</v>
      </c>
      <c r="I15">
        <f>published!K15-'back from june'!K15</f>
        <v>-2.2409739776820994E-2</v>
      </c>
      <c r="J15">
        <f>published!L15-'back from june'!L15</f>
        <v>0</v>
      </c>
      <c r="K15">
        <f>published!M15-'back from june'!M15</f>
        <v>0</v>
      </c>
      <c r="L15">
        <f>published!N15-'back from june'!N15</f>
        <v>0</v>
      </c>
      <c r="M15">
        <f>published!O15-'back from june'!O15</f>
        <v>0</v>
      </c>
      <c r="N15">
        <f>published!P15-'back from june'!P15</f>
        <v>0</v>
      </c>
      <c r="O15">
        <f>published!Q15-'back from june'!Q15</f>
        <v>0</v>
      </c>
      <c r="P15">
        <f>published!R15-'back from june'!R15</f>
        <v>0</v>
      </c>
      <c r="Q15">
        <f>published!S15-'back from june'!S15</f>
        <v>0</v>
      </c>
      <c r="R15">
        <f>published!T15-'back from june'!T15</f>
        <v>0</v>
      </c>
      <c r="S15">
        <f>published!U15-'back from june'!U15</f>
        <v>-1.1745211678817941E-2</v>
      </c>
      <c r="T15">
        <f>published!V15-'back from june'!V15</f>
        <v>0</v>
      </c>
      <c r="U15">
        <f>published!W15-'back from june'!W15</f>
        <v>3.9679526731006831E-5</v>
      </c>
      <c r="V15">
        <f>published!X15-'back from june'!X15</f>
        <v>-9.2696938203701978E-6</v>
      </c>
      <c r="W15">
        <f>published!Y15-'back from june'!Y15</f>
        <v>7.0029300104018005E-2</v>
      </c>
      <c r="X15">
        <f>published!Z15-'back from june'!Z15</f>
        <v>0</v>
      </c>
      <c r="Y15">
        <f>published!AA15-'back from june'!AA15</f>
        <v>0.20472512020677741</v>
      </c>
      <c r="Z15">
        <f>published!AB15-'back from june'!AB15</f>
        <v>-3.4076063758568295E-2</v>
      </c>
      <c r="AA15">
        <f>published!AC15-'back from june'!AC15</f>
        <v>0.17044647611749322</v>
      </c>
      <c r="AB15">
        <f>published!AD15-'back from june'!AD15</f>
        <v>0.24047577622151201</v>
      </c>
    </row>
    <row r="16" spans="1:29" x14ac:dyDescent="0.35">
      <c r="A16" t="s">
        <v>47</v>
      </c>
      <c r="B16">
        <f>published!D16-'back from june'!D16</f>
        <v>-6.4345258995419929E-3</v>
      </c>
      <c r="C16">
        <f>published!E16-'back from june'!E16</f>
        <v>0</v>
      </c>
      <c r="D16">
        <f>published!F16-'back from june'!F16</f>
        <v>0.1359148550651216</v>
      </c>
      <c r="E16">
        <f>published!G16-'back from june'!G16</f>
        <v>0</v>
      </c>
      <c r="F16">
        <f>published!H16-'back from june'!H16</f>
        <v>6.5045016160142605E-2</v>
      </c>
      <c r="G16">
        <f>published!I16-'back from june'!I16</f>
        <v>0</v>
      </c>
      <c r="H16">
        <f>published!J16-'back from june'!J16</f>
        <v>0</v>
      </c>
      <c r="I16">
        <f>published!K16-'back from june'!K16</f>
        <v>-2.2567075403279138E-2</v>
      </c>
      <c r="J16">
        <f>published!L16-'back from june'!L16</f>
        <v>0</v>
      </c>
      <c r="K16">
        <f>published!M16-'back from june'!M16</f>
        <v>0</v>
      </c>
      <c r="L16">
        <f>published!N16-'back from june'!N16</f>
        <v>0</v>
      </c>
      <c r="M16">
        <f>published!O16-'back from june'!O16</f>
        <v>0</v>
      </c>
      <c r="N16">
        <f>published!P16-'back from june'!P16</f>
        <v>0</v>
      </c>
      <c r="O16">
        <f>published!Q16-'back from june'!Q16</f>
        <v>0</v>
      </c>
      <c r="P16">
        <f>published!R16-'back from june'!R16</f>
        <v>0</v>
      </c>
      <c r="Q16">
        <f>published!S16-'back from june'!S16</f>
        <v>0</v>
      </c>
      <c r="R16">
        <f>published!T16-'back from june'!T16</f>
        <v>0</v>
      </c>
      <c r="S16">
        <f>published!U16-'back from june'!U16</f>
        <v>-5.8823457780614406E-3</v>
      </c>
      <c r="T16">
        <f>published!V16-'back from june'!V16</f>
        <v>0</v>
      </c>
      <c r="U16">
        <f>published!W16-'back from june'!W16</f>
        <v>-3.5692246974119005E-2</v>
      </c>
      <c r="V16">
        <f>published!X16-'back from june'!X16</f>
        <v>-1.736564879832031E-2</v>
      </c>
      <c r="W16">
        <f>published!Y16-'back from june'!Y16</f>
        <v>-6.4345258995419929E-3</v>
      </c>
      <c r="X16">
        <f>published!Z16-'back from june'!Z16</f>
        <v>0</v>
      </c>
      <c r="Y16">
        <f>published!AA16-'back from june'!AA16</f>
        <v>0.20103875637140919</v>
      </c>
      <c r="Z16">
        <f>published!AB16-'back from june'!AB16</f>
        <v>-8.1458626219619398E-2</v>
      </c>
      <c r="AA16">
        <f>published!AC16-'back from june'!AC16</f>
        <v>0.1192366907770999</v>
      </c>
      <c r="AB16">
        <f>published!AD16-'back from june'!AD16</f>
        <v>0.11280216487755801</v>
      </c>
      <c r="AC16">
        <f>AVERAGE(AB13:AB16)</f>
        <v>0.28742616839715451</v>
      </c>
    </row>
    <row r="17" spans="1:28" x14ac:dyDescent="0.35">
      <c r="A17" t="s">
        <v>48</v>
      </c>
      <c r="B17">
        <f>published!D17-'back from june'!D17</f>
        <v>-8.6757820870570004E-3</v>
      </c>
      <c r="C17">
        <f>published!E17-'back from june'!E17</f>
        <v>0</v>
      </c>
      <c r="D17">
        <f>published!F17-'back from june'!F17</f>
        <v>0.17501395427063501</v>
      </c>
      <c r="E17">
        <f>published!G17-'back from june'!G17</f>
        <v>0</v>
      </c>
      <c r="F17">
        <f>published!H17-'back from june'!H17</f>
        <v>4.46751079925755E-2</v>
      </c>
      <c r="G17">
        <f>published!I17-'back from june'!I17</f>
        <v>0</v>
      </c>
      <c r="H17">
        <f>published!J17-'back from june'!J17</f>
        <v>0</v>
      </c>
      <c r="I17">
        <f>published!K17-'back from june'!K17</f>
        <v>-2.2170053413873701E-2</v>
      </c>
      <c r="J17">
        <f>published!L17-'back from june'!L17</f>
        <v>0</v>
      </c>
      <c r="K17">
        <f>published!M17-'back from june'!M17</f>
        <v>0</v>
      </c>
      <c r="L17">
        <f>published!N17-'back from june'!N17</f>
        <v>0</v>
      </c>
      <c r="M17">
        <f>published!O17-'back from june'!O17</f>
        <v>0</v>
      </c>
      <c r="N17">
        <f>published!P17-'back from june'!P17</f>
        <v>0</v>
      </c>
      <c r="O17">
        <f>published!Q17-'back from june'!Q17</f>
        <v>0</v>
      </c>
      <c r="P17">
        <f>published!R17-'back from june'!R17</f>
        <v>0</v>
      </c>
      <c r="Q17">
        <f>published!S17-'back from june'!S17</f>
        <v>0</v>
      </c>
      <c r="R17">
        <f>published!T17-'back from june'!T17</f>
        <v>0</v>
      </c>
      <c r="S17">
        <f>published!U17-'back from june'!U17</f>
        <v>-5.7971966535376998E-3</v>
      </c>
      <c r="T17">
        <f>published!V17-'back from june'!V17</f>
        <v>0</v>
      </c>
      <c r="U17">
        <f>published!W17-'back from june'!W17</f>
        <v>-3.5540269397285995E-2</v>
      </c>
      <c r="V17">
        <f>published!X17-'back from june'!X17</f>
        <v>-1.7286122239216679E-2</v>
      </c>
      <c r="W17">
        <f>published!Y17-'back from june'!Y17</f>
        <v>-8.6757820870570074E-3</v>
      </c>
      <c r="X17">
        <f>published!Z17-'back from june'!Z17</f>
        <v>0</v>
      </c>
      <c r="Y17">
        <f>published!AA17-'back from june'!AA17</f>
        <v>0.220137328913524</v>
      </c>
      <c r="Z17">
        <f>published!AB17-'back from june'!AB17</f>
        <v>-8.0731783603113089E-2</v>
      </c>
      <c r="AA17">
        <f>published!AC17-'back from june'!AC17</f>
        <v>0.13875947354446902</v>
      </c>
      <c r="AB17">
        <f>published!AD17-'back from june'!AD17</f>
        <v>0.13008369145741194</v>
      </c>
    </row>
    <row r="18" spans="1:28" x14ac:dyDescent="0.35">
      <c r="A18" t="s">
        <v>49</v>
      </c>
      <c r="B18">
        <f>published!D18-'back from june'!D18</f>
        <v>-8.4704580042369998E-3</v>
      </c>
      <c r="C18">
        <f>published!E18-'back from june'!E18</f>
        <v>0</v>
      </c>
      <c r="D18">
        <f>published!F18-'back from june'!F18</f>
        <v>0.1715706809632884</v>
      </c>
      <c r="E18">
        <f>published!G18-'back from june'!G18</f>
        <v>0</v>
      </c>
      <c r="F18">
        <f>published!H18-'back from june'!H18</f>
        <v>4.7697691009633392E-2</v>
      </c>
      <c r="G18">
        <f>published!I18-'back from june'!I18</f>
        <v>0</v>
      </c>
      <c r="H18">
        <f>published!J18-'back from june'!J18</f>
        <v>0</v>
      </c>
      <c r="I18">
        <f>published!K18-'back from june'!K18</f>
        <v>-2.1656380552148701E-2</v>
      </c>
      <c r="J18">
        <f>published!L18-'back from june'!L18</f>
        <v>0</v>
      </c>
      <c r="K18">
        <f>published!M18-'back from june'!M18</f>
        <v>0</v>
      </c>
      <c r="L18">
        <f>published!N18-'back from june'!N18</f>
        <v>0</v>
      </c>
      <c r="M18">
        <f>published!O18-'back from june'!O18</f>
        <v>0</v>
      </c>
      <c r="N18">
        <f>published!P18-'back from june'!P18</f>
        <v>0</v>
      </c>
      <c r="O18">
        <f>published!Q18-'back from june'!Q18</f>
        <v>0</v>
      </c>
      <c r="P18">
        <f>published!R18-'back from june'!R18</f>
        <v>0</v>
      </c>
      <c r="Q18">
        <f>published!S18-'back from june'!S18</f>
        <v>0</v>
      </c>
      <c r="R18">
        <f>published!T18-'back from june'!T18</f>
        <v>0</v>
      </c>
      <c r="S18">
        <f>published!U18-'back from june'!U18</f>
        <v>-4.2761297884770996E-3</v>
      </c>
      <c r="T18">
        <f>published!V18-'back from june'!V18</f>
        <v>0</v>
      </c>
      <c r="U18">
        <f>published!W18-'back from june'!W18</f>
        <v>-3.52583457627028E-2</v>
      </c>
      <c r="V18">
        <f>published!X18-'back from june'!X18</f>
        <v>-1.7113588229668512E-2</v>
      </c>
      <c r="W18">
        <f>published!Y18-'back from june'!Y18</f>
        <v>-8.4704580042370137E-3</v>
      </c>
      <c r="X18">
        <f>published!Z18-'back from june'!Z18</f>
        <v>0</v>
      </c>
      <c r="Y18">
        <f>published!AA18-'back from june'!AA18</f>
        <v>0.21987055322384302</v>
      </c>
      <c r="Z18">
        <f>published!AB18-'back from june'!AB18</f>
        <v>-7.8244959621875207E-2</v>
      </c>
      <c r="AA18">
        <f>published!AC18-'back from june'!AC18</f>
        <v>0.14106060709382601</v>
      </c>
      <c r="AB18">
        <f>published!AD18-'back from june'!AD18</f>
        <v>0.13259014908958899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back from june</vt:lpstr>
      <vt:lpstr>published</vt:lpstr>
      <vt:lpstr>chase</vt:lpstr>
      <vt:lpstr>published-chase</vt:lpstr>
      <vt:lpstr>diff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SAhmad</dc:creator>
  <cp:lastModifiedBy>Sarah Ahmad</cp:lastModifiedBy>
  <dcterms:created xsi:type="dcterms:W3CDTF">2025-10-06T20:31:46Z</dcterms:created>
  <dcterms:modified xsi:type="dcterms:W3CDTF">2025-10-07T15:24:39Z</dcterms:modified>
</cp:coreProperties>
</file>