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10-2025\beta\without_shutdown_deflators\"/>
    </mc:Choice>
  </mc:AlternateContent>
  <xr:revisionPtr revIDLastSave="0" documentId="8_{FBFE8E15-4061-4A0A-A593-05A704AC4EEF}" xr6:coauthVersionLast="47" xr6:coauthVersionMax="47" xr10:uidLastSave="{00000000-0000-0000-0000-000000000000}"/>
  <bookViews>
    <workbookView xWindow="28995" yWindow="-11505" windowWidth="9195" windowHeight="8175" xr2:uid="{0E707EDA-3955-4EBD-8922-EBBD29D8FDA3}"/>
  </bookViews>
  <sheets>
    <sheet name="Shutdown Effects" sheetId="1" r:id="rId1"/>
    <sheet name="tariff effects" sheetId="2" r:id="rId2"/>
    <sheet name="OBBBA effe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<sst xmlns="http://schemas.openxmlformats.org/spreadsheetml/2006/main" count="64" uniqueCount="26">
  <si>
    <t>plus 10% in q4 -8.4% in q1</t>
  </si>
  <si>
    <t>deflator add factor for shutdown</t>
  </si>
  <si>
    <t>2027 Q2</t>
  </si>
  <si>
    <t>2027 Q1</t>
  </si>
  <si>
    <t>2026 Q4</t>
  </si>
  <si>
    <t>2026 Q3</t>
  </si>
  <si>
    <t>2026 Q2</t>
  </si>
  <si>
    <t>2026 Q1</t>
  </si>
  <si>
    <t>2025 Q4</t>
  </si>
  <si>
    <t>2025 Q3</t>
  </si>
  <si>
    <t>2025 Q2</t>
  </si>
  <si>
    <t>2025 Q1</t>
  </si>
  <si>
    <t>2024 Q4</t>
  </si>
  <si>
    <t>2024 Q3</t>
  </si>
  <si>
    <t>2024 Q2</t>
  </si>
  <si>
    <t>2024 Q1</t>
  </si>
  <si>
    <t>2023 Q4</t>
  </si>
  <si>
    <t>2023 Q3</t>
  </si>
  <si>
    <t>2023 Q2</t>
  </si>
  <si>
    <t>shutdown effect</t>
  </si>
  <si>
    <t>federal_purchases_contribution_no_shutdown</t>
  </si>
  <si>
    <t>federal_purchases_contribution</t>
  </si>
  <si>
    <t>date</t>
  </si>
  <si>
    <t>diff</t>
  </si>
  <si>
    <t>federal_non_corporate_taxes_contribution_no_tariffs</t>
  </si>
  <si>
    <t>federal_non_corporate_taxes_contribution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</si>
</sst>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B9B9-02BD-4F11-83B2-243E3B317630}">
  <dimension ref="A1:D25"/>
  <sheetViews>
    <sheetView tabSelected="1" workbookViewId="0">
      <selection activeCell="D20" sqref="D20"/>
    </sheetView>
  </sheetViews>
  <sheetFormatPr defaultRowHeight="14.5" x14ac:dyDescent="0.35"/>
  <cols>
    <col min="2" max="2" width="8.1796875" customWidth="1"/>
  </cols>
  <sheetData>
    <row r="1" spans="1:4" s="1" customFormat="1" ht="87" x14ac:dyDescent="0.35">
      <c r="A1" s="1" t="s">
        <v>22</v>
      </c>
      <c r="B1" s="1" t="s">
        <v>21</v>
      </c>
      <c r="C1" s="1" t="s">
        <v>20</v>
      </c>
      <c r="D1" s="1" t="s">
        <v>19</v>
      </c>
    </row>
    <row r="2" spans="1:4" x14ac:dyDescent="0.35">
      <c r="A2" t="s">
        <v>18</v>
      </c>
      <c r="B2">
        <v>-0.14802611157274501</v>
      </c>
      <c r="C2">
        <v>-0.14802611157274501</v>
      </c>
      <c r="D2">
        <f>B2-C2</f>
        <v>0</v>
      </c>
    </row>
    <row r="3" spans="1:4" x14ac:dyDescent="0.35">
      <c r="A3" t="s">
        <v>17</v>
      </c>
      <c r="B3">
        <v>0.29138772747964098</v>
      </c>
      <c r="C3">
        <v>0.29138772747964098</v>
      </c>
      <c r="D3">
        <f>B3-C3</f>
        <v>0</v>
      </c>
    </row>
    <row r="4" spans="1:4" x14ac:dyDescent="0.35">
      <c r="A4" t="s">
        <v>16</v>
      </c>
      <c r="B4">
        <v>7.0409518749265695E-2</v>
      </c>
      <c r="C4">
        <v>7.0409518749265695E-2</v>
      </c>
      <c r="D4">
        <f>B4-C4</f>
        <v>0</v>
      </c>
    </row>
    <row r="5" spans="1:4" x14ac:dyDescent="0.35">
      <c r="A5" t="s">
        <v>15</v>
      </c>
      <c r="B5">
        <v>-9.5656904722252106E-2</v>
      </c>
      <c r="C5">
        <v>-9.5656904722252106E-2</v>
      </c>
      <c r="D5">
        <f>B5-C5</f>
        <v>0</v>
      </c>
    </row>
    <row r="6" spans="1:4" x14ac:dyDescent="0.35">
      <c r="A6" t="s">
        <v>14</v>
      </c>
      <c r="B6">
        <v>0.12347864355657601</v>
      </c>
      <c r="C6">
        <v>0.12347864355657601</v>
      </c>
      <c r="D6">
        <f>B6-C6</f>
        <v>0</v>
      </c>
    </row>
    <row r="7" spans="1:4" x14ac:dyDescent="0.35">
      <c r="A7" t="s">
        <v>13</v>
      </c>
      <c r="B7">
        <v>0.40650570357638799</v>
      </c>
      <c r="C7">
        <v>0.40650570357638799</v>
      </c>
      <c r="D7">
        <f>B7-C7</f>
        <v>0</v>
      </c>
    </row>
    <row r="8" spans="1:4" x14ac:dyDescent="0.35">
      <c r="A8" t="s">
        <v>12</v>
      </c>
      <c r="B8">
        <v>0.133873781721287</v>
      </c>
      <c r="C8">
        <v>0.133873781721287</v>
      </c>
      <c r="D8">
        <f>B8-C8</f>
        <v>0</v>
      </c>
    </row>
    <row r="9" spans="1:4" x14ac:dyDescent="0.35">
      <c r="A9" t="s">
        <v>11</v>
      </c>
      <c r="B9">
        <v>-0.51945344220673595</v>
      </c>
      <c r="C9">
        <v>-0.51945344220673595</v>
      </c>
      <c r="D9">
        <f>B9-C9</f>
        <v>0</v>
      </c>
    </row>
    <row r="10" spans="1:4" x14ac:dyDescent="0.35">
      <c r="A10" t="s">
        <v>10</v>
      </c>
      <c r="B10">
        <v>-0.49659070787292697</v>
      </c>
      <c r="C10">
        <v>-0.49659070787292697</v>
      </c>
      <c r="D10">
        <f>B10-C10</f>
        <v>0</v>
      </c>
    </row>
    <row r="11" spans="1:4" x14ac:dyDescent="0.35">
      <c r="A11" t="s">
        <v>9</v>
      </c>
      <c r="B11">
        <v>0.163111297253933</v>
      </c>
      <c r="C11">
        <v>0.163111297253933</v>
      </c>
      <c r="D11">
        <f>B11-C11</f>
        <v>0</v>
      </c>
    </row>
    <row r="12" spans="1:4" x14ac:dyDescent="0.35">
      <c r="A12" t="s">
        <v>8</v>
      </c>
      <c r="B12">
        <v>-0.55089403689012195</v>
      </c>
      <c r="C12">
        <v>5.1277427045617302E-2</v>
      </c>
      <c r="D12">
        <f>B12-C12</f>
        <v>-0.60217146393573928</v>
      </c>
    </row>
    <row r="13" spans="1:4" x14ac:dyDescent="0.35">
      <c r="A13" t="s">
        <v>7</v>
      </c>
      <c r="B13">
        <v>0.89353248872401803</v>
      </c>
      <c r="C13">
        <v>0.29588504945161798</v>
      </c>
      <c r="D13">
        <f>B13-C13</f>
        <v>0.59764743927240005</v>
      </c>
    </row>
    <row r="14" spans="1:4" x14ac:dyDescent="0.35">
      <c r="A14" t="s">
        <v>6</v>
      </c>
      <c r="B14">
        <v>2.5063031368209299E-2</v>
      </c>
      <c r="C14">
        <v>2.5063031368209299E-2</v>
      </c>
      <c r="D14">
        <f>B14-C14</f>
        <v>0</v>
      </c>
    </row>
    <row r="15" spans="1:4" x14ac:dyDescent="0.35">
      <c r="A15" t="s">
        <v>5</v>
      </c>
      <c r="B15">
        <v>-3.9419277329213298E-2</v>
      </c>
      <c r="C15">
        <v>-3.9419277329213298E-2</v>
      </c>
      <c r="D15">
        <f>B15-C15</f>
        <v>0</v>
      </c>
    </row>
    <row r="16" spans="1:4" x14ac:dyDescent="0.35">
      <c r="A16" t="s">
        <v>4</v>
      </c>
      <c r="B16">
        <v>-0.134754265364598</v>
      </c>
      <c r="C16">
        <v>-0.134754265364598</v>
      </c>
      <c r="D16">
        <f>B16-C16</f>
        <v>0</v>
      </c>
    </row>
    <row r="17" spans="1:4" x14ac:dyDescent="0.35">
      <c r="A17" t="s">
        <v>3</v>
      </c>
      <c r="B17">
        <v>-6.4067477393471503E-2</v>
      </c>
      <c r="C17">
        <v>-6.4067477393471503E-2</v>
      </c>
      <c r="D17">
        <f>B17-C17</f>
        <v>0</v>
      </c>
    </row>
    <row r="18" spans="1:4" x14ac:dyDescent="0.35">
      <c r="A18" t="s">
        <v>2</v>
      </c>
      <c r="B18">
        <v>-0.110727166879507</v>
      </c>
      <c r="C18">
        <v>-0.110727166879507</v>
      </c>
      <c r="D18">
        <f>B18-C18</f>
        <v>0</v>
      </c>
    </row>
    <row r="23" spans="1:4" x14ac:dyDescent="0.35">
      <c r="A23" t="s">
        <v>1</v>
      </c>
    </row>
    <row r="25" spans="1:4" x14ac:dyDescent="0.35">
      <c r="A2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D155-32C9-4AD6-958D-ED382FA70BD3}">
  <dimension ref="A1:D18"/>
  <sheetViews>
    <sheetView workbookViewId="0">
      <selection activeCell="D20" sqref="D20"/>
    </sheetView>
  </sheetViews>
  <sheetFormatPr defaultRowHeight="14.5" x14ac:dyDescent="0.35"/>
  <sheetData>
    <row r="1" spans="1:4" ht="101.5" x14ac:dyDescent="0.35">
      <c r="A1" s="1" t="s">
        <v>22</v>
      </c>
      <c r="B1" t="s">
        <v>25</v>
      </c>
      <c r="C1" s="1" t="s">
        <v>24</v>
      </c>
      <c r="D1" s="1" t="s">
        <v>23</v>
      </c>
    </row>
    <row r="2" spans="1:4" x14ac:dyDescent="0.35">
      <c r="A2" t="s">
        <v>18</v>
      </c>
      <c r="B2">
        <v>0.40168306970290102</v>
      </c>
      <c r="C2">
        <v>0.40168306970290102</v>
      </c>
      <c r="D2">
        <f>C2-B2</f>
        <v>0</v>
      </c>
    </row>
    <row r="3" spans="1:4" x14ac:dyDescent="0.35">
      <c r="A3" t="s">
        <v>17</v>
      </c>
      <c r="B3">
        <v>0.113357457258702</v>
      </c>
      <c r="C3">
        <v>0.113357457258702</v>
      </c>
      <c r="D3">
        <f>C3-B3</f>
        <v>0</v>
      </c>
    </row>
    <row r="4" spans="1:4" x14ac:dyDescent="0.35">
      <c r="A4" t="s">
        <v>16</v>
      </c>
      <c r="B4">
        <v>8.4390722113830099E-2</v>
      </c>
      <c r="C4">
        <v>8.4390722113830099E-2</v>
      </c>
      <c r="D4">
        <f>C4-B4</f>
        <v>0</v>
      </c>
    </row>
    <row r="5" spans="1:4" x14ac:dyDescent="0.35">
      <c r="A5" t="s">
        <v>15</v>
      </c>
      <c r="B5">
        <v>0.49002857232950098</v>
      </c>
      <c r="C5">
        <v>0.49002857232950098</v>
      </c>
      <c r="D5">
        <f>C5-B5</f>
        <v>0</v>
      </c>
    </row>
    <row r="6" spans="1:4" x14ac:dyDescent="0.35">
      <c r="A6" t="s">
        <v>14</v>
      </c>
      <c r="B6">
        <v>0.350634639232693</v>
      </c>
      <c r="C6">
        <v>0.350634639232693</v>
      </c>
      <c r="D6">
        <f>C6-B6</f>
        <v>0</v>
      </c>
    </row>
    <row r="7" spans="1:4" x14ac:dyDescent="0.35">
      <c r="A7" t="s">
        <v>13</v>
      </c>
      <c r="B7">
        <v>0.26769889286291498</v>
      </c>
      <c r="C7">
        <v>0.26769889286291498</v>
      </c>
      <c r="D7">
        <f>C7-B7</f>
        <v>0</v>
      </c>
    </row>
    <row r="8" spans="1:4" x14ac:dyDescent="0.35">
      <c r="A8" t="s">
        <v>12</v>
      </c>
      <c r="B8">
        <v>0.26578106401662999</v>
      </c>
      <c r="C8">
        <v>0.26578106401662999</v>
      </c>
      <c r="D8">
        <f>C8-B8</f>
        <v>0</v>
      </c>
    </row>
    <row r="9" spans="1:4" x14ac:dyDescent="0.35">
      <c r="A9" t="s">
        <v>11</v>
      </c>
      <c r="B9">
        <v>-6.8923507981179702E-2</v>
      </c>
      <c r="C9">
        <v>-6.8923507981179702E-2</v>
      </c>
      <c r="D9">
        <f>C9-B9</f>
        <v>0</v>
      </c>
    </row>
    <row r="10" spans="1:4" x14ac:dyDescent="0.35">
      <c r="A10" t="s">
        <v>10</v>
      </c>
      <c r="B10">
        <v>-0.49360351627841198</v>
      </c>
      <c r="C10">
        <v>-0.49360351627841198</v>
      </c>
      <c r="D10">
        <f>C10-B10</f>
        <v>0</v>
      </c>
    </row>
    <row r="11" spans="1:4" x14ac:dyDescent="0.35">
      <c r="A11" t="s">
        <v>9</v>
      </c>
      <c r="B11">
        <v>-0.225617648258191</v>
      </c>
      <c r="C11">
        <v>0.18591672941149001</v>
      </c>
      <c r="D11">
        <f>B11-C11</f>
        <v>-0.41153437766968104</v>
      </c>
    </row>
    <row r="12" spans="1:4" x14ac:dyDescent="0.35">
      <c r="A12" t="s">
        <v>8</v>
      </c>
      <c r="B12">
        <v>-0.18376482299076699</v>
      </c>
      <c r="C12">
        <v>0.30922527074513401</v>
      </c>
      <c r="D12">
        <f>B12-C12</f>
        <v>-0.49299009373590097</v>
      </c>
    </row>
    <row r="13" spans="1:4" x14ac:dyDescent="0.35">
      <c r="A13" t="s">
        <v>7</v>
      </c>
      <c r="B13">
        <v>-0.157889086807043</v>
      </c>
      <c r="C13">
        <v>0.124777734619577</v>
      </c>
      <c r="D13">
        <f>B13-C13</f>
        <v>-0.28266682142662003</v>
      </c>
    </row>
    <row r="14" spans="1:4" x14ac:dyDescent="0.35">
      <c r="A14" t="s">
        <v>6</v>
      </c>
      <c r="B14">
        <v>-0.108594546287687</v>
      </c>
      <c r="C14">
        <v>0.12555896919251699</v>
      </c>
      <c r="D14">
        <f>B14-C14</f>
        <v>-0.23415351548020399</v>
      </c>
    </row>
    <row r="15" spans="1:4" x14ac:dyDescent="0.35">
      <c r="A15" t="s">
        <v>5</v>
      </c>
      <c r="B15">
        <v>-0.107081655066805</v>
      </c>
      <c r="C15">
        <v>0.122217372481947</v>
      </c>
      <c r="D15">
        <f>B15-C15</f>
        <v>-0.229299027548752</v>
      </c>
    </row>
    <row r="16" spans="1:4" x14ac:dyDescent="0.35">
      <c r="A16" t="s">
        <v>4</v>
      </c>
      <c r="B16">
        <v>-8.53676104400794E-2</v>
      </c>
      <c r="C16">
        <v>0.14063965098947201</v>
      </c>
      <c r="D16">
        <f>B16-C16</f>
        <v>-0.22600726142955141</v>
      </c>
    </row>
    <row r="17" spans="1:4" x14ac:dyDescent="0.35">
      <c r="A17" t="s">
        <v>3</v>
      </c>
      <c r="B17">
        <v>-0.194568075207978</v>
      </c>
      <c r="C17">
        <v>2.87695140232813E-2</v>
      </c>
      <c r="D17">
        <f>B17-C17</f>
        <v>-0.22333758923125929</v>
      </c>
    </row>
    <row r="18" spans="1:4" x14ac:dyDescent="0.35">
      <c r="A18" t="s">
        <v>2</v>
      </c>
      <c r="B18">
        <v>-2.9836760326829598E-2</v>
      </c>
      <c r="C18">
        <v>0.18881224837854199</v>
      </c>
      <c r="D18">
        <f>B18-C18</f>
        <v>-0.2186490087053716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320E-ECC3-44F5-BE40-582080B7A03B}">
  <dimension ref="A1:D18"/>
  <sheetViews>
    <sheetView workbookViewId="0">
      <selection activeCell="D20" sqref="D20"/>
    </sheetView>
  </sheetViews>
  <sheetFormatPr defaultRowHeight="14.5" x14ac:dyDescent="0.35"/>
  <sheetData>
    <row r="1" spans="1:4" s="1" customFormat="1" ht="72.5" x14ac:dyDescent="0.35">
      <c r="A1" s="1" t="s">
        <v>22</v>
      </c>
      <c r="B1" s="1" t="s">
        <v>25</v>
      </c>
      <c r="C1" t="s">
        <v>25</v>
      </c>
    </row>
    <row r="2" spans="1:4" x14ac:dyDescent="0.35">
      <c r="A2" t="s">
        <v>18</v>
      </c>
      <c r="B2">
        <v>0.40168306970290102</v>
      </c>
      <c r="C2">
        <v>0.40168306970290102</v>
      </c>
      <c r="D2" s="1"/>
    </row>
    <row r="3" spans="1:4" x14ac:dyDescent="0.35">
      <c r="A3" t="s">
        <v>17</v>
      </c>
      <c r="B3">
        <v>0.113357457258702</v>
      </c>
      <c r="C3">
        <v>0.113357457258702</v>
      </c>
      <c r="D3" s="1"/>
    </row>
    <row r="4" spans="1:4" x14ac:dyDescent="0.35">
      <c r="A4" t="s">
        <v>16</v>
      </c>
      <c r="B4">
        <v>8.4390722113830099E-2</v>
      </c>
      <c r="C4">
        <v>8.4390722113830099E-2</v>
      </c>
      <c r="D4" s="1"/>
    </row>
    <row r="5" spans="1:4" x14ac:dyDescent="0.35">
      <c r="A5" t="s">
        <v>15</v>
      </c>
      <c r="B5">
        <v>0.49002857232950098</v>
      </c>
      <c r="C5">
        <v>0.49002857232950098</v>
      </c>
      <c r="D5" s="1"/>
    </row>
    <row r="6" spans="1:4" x14ac:dyDescent="0.35">
      <c r="A6" t="s">
        <v>14</v>
      </c>
      <c r="B6">
        <v>0.350634639232693</v>
      </c>
      <c r="C6">
        <v>0.350634639232693</v>
      </c>
      <c r="D6" s="1"/>
    </row>
    <row r="7" spans="1:4" x14ac:dyDescent="0.35">
      <c r="A7" t="s">
        <v>13</v>
      </c>
      <c r="B7">
        <v>0.26769889286291498</v>
      </c>
      <c r="C7">
        <v>0.26769889286291498</v>
      </c>
      <c r="D7" s="1"/>
    </row>
    <row r="8" spans="1:4" x14ac:dyDescent="0.35">
      <c r="A8" t="s">
        <v>12</v>
      </c>
      <c r="B8">
        <v>0.26578106401662999</v>
      </c>
      <c r="C8">
        <v>0.26578106401662999</v>
      </c>
      <c r="D8" s="1"/>
    </row>
    <row r="9" spans="1:4" x14ac:dyDescent="0.35">
      <c r="A9" t="s">
        <v>11</v>
      </c>
      <c r="B9">
        <v>-6.8923507981179702E-2</v>
      </c>
      <c r="C9">
        <v>-6.8923507981179702E-2</v>
      </c>
      <c r="D9" s="1"/>
    </row>
    <row r="10" spans="1:4" x14ac:dyDescent="0.35">
      <c r="A10" t="s">
        <v>10</v>
      </c>
      <c r="B10">
        <v>-0.49360351627841198</v>
      </c>
      <c r="C10">
        <v>-0.49360351627841198</v>
      </c>
      <c r="D10" s="1"/>
    </row>
    <row r="11" spans="1:4" x14ac:dyDescent="0.35">
      <c r="A11" t="s">
        <v>9</v>
      </c>
      <c r="B11">
        <v>0.18591672941149001</v>
      </c>
      <c r="C11">
        <v>-0.225617648258191</v>
      </c>
      <c r="D11" s="1"/>
    </row>
    <row r="12" spans="1:4" x14ac:dyDescent="0.35">
      <c r="A12" t="s">
        <v>8</v>
      </c>
      <c r="B12">
        <v>0.30922527074513401</v>
      </c>
      <c r="C12">
        <v>-0.18376482299076699</v>
      </c>
      <c r="D12" s="1"/>
    </row>
    <row r="13" spans="1:4" x14ac:dyDescent="0.35">
      <c r="A13" t="s">
        <v>7</v>
      </c>
      <c r="B13">
        <v>0.124777734619577</v>
      </c>
      <c r="C13">
        <v>-0.157889086807043</v>
      </c>
      <c r="D13" s="1"/>
    </row>
    <row r="14" spans="1:4" x14ac:dyDescent="0.35">
      <c r="A14" t="s">
        <v>6</v>
      </c>
      <c r="B14">
        <v>0.12555896919251699</v>
      </c>
      <c r="C14">
        <v>-0.108594546287687</v>
      </c>
      <c r="D14" s="1"/>
    </row>
    <row r="15" spans="1:4" x14ac:dyDescent="0.35">
      <c r="A15" t="s">
        <v>5</v>
      </c>
      <c r="B15">
        <v>0.122217372481947</v>
      </c>
      <c r="C15">
        <v>-0.107081655066805</v>
      </c>
      <c r="D15" s="1"/>
    </row>
    <row r="16" spans="1:4" x14ac:dyDescent="0.35">
      <c r="A16" t="s">
        <v>4</v>
      </c>
      <c r="B16">
        <v>0.14063965098947201</v>
      </c>
      <c r="C16">
        <v>-8.53676104400794E-2</v>
      </c>
      <c r="D16" s="1"/>
    </row>
    <row r="17" spans="1:4" x14ac:dyDescent="0.35">
      <c r="A17" t="s">
        <v>3</v>
      </c>
      <c r="B17">
        <v>2.87695140232813E-2</v>
      </c>
      <c r="C17">
        <v>-0.194568075207978</v>
      </c>
      <c r="D17" s="1"/>
    </row>
    <row r="18" spans="1:4" x14ac:dyDescent="0.35">
      <c r="A18" t="s">
        <v>2</v>
      </c>
      <c r="B18">
        <v>0.18881224837854199</v>
      </c>
      <c r="C18">
        <v>-2.9836760326829598E-2</v>
      </c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Shutdown Effects</vt:lpstr>
      <vt:lpstr>tariff effects</vt:lpstr>
      <vt:lpstr>OBBBA 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Parry</dc:creator>
  <cp:lastModifiedBy>Chase Parry</cp:lastModifiedBy>
  <dcterms:created xsi:type="dcterms:W3CDTF">2025-11-03T22:56:38Z</dcterms:created>
  <dcterms:modified xsi:type="dcterms:W3CDTF">2025-11-03T22:57:35Z</dcterms:modified>
</cp:coreProperties>
</file>