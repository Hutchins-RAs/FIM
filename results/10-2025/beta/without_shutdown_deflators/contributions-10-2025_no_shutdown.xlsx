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Parry\Downloads\FIM\results\10-2025\beta\without_shutdown_deflators\"/>
    </mc:Choice>
  </mc:AlternateContent>
  <xr:revisionPtr revIDLastSave="0" documentId="13_ncr:1_{A242A4BD-4F4F-4608-94A1-981687B27610}" xr6:coauthVersionLast="47" xr6:coauthVersionMax="47" xr10:uidLastSave="{00000000-0000-0000-0000-000000000000}"/>
  <bookViews>
    <workbookView xWindow="29400" yWindow="-16200" windowWidth="14610" windowHeight="1558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</calcChain>
</file>

<file path=xl/sharedStrings.xml><?xml version="1.0" encoding="utf-8"?>
<sst xmlns="http://schemas.openxmlformats.org/spreadsheetml/2006/main" count="66" uniqueCount="50">
  <si>
    <t>date</t>
  </si>
  <si>
    <t>id</t>
  </si>
  <si>
    <t>recession</t>
  </si>
  <si>
    <t>federal_purchases_contribution</t>
  </si>
  <si>
    <t>state_purchases_contribution</t>
  </si>
  <si>
    <t>federal_non_corporate_taxes_contribution</t>
  </si>
  <si>
    <t>state_non_corporate_taxes_contribution</t>
  </si>
  <si>
    <t>federal_corporate_taxes_contribution</t>
  </si>
  <si>
    <t>supply_side_ira_contribution</t>
  </si>
  <si>
    <t>state_corporate_taxes_contribution</t>
  </si>
  <si>
    <t>federal_social_benefits_contribution</t>
  </si>
  <si>
    <t>state_social_benefits_contribution</t>
  </si>
  <si>
    <t>rebate_checks_contribution</t>
  </si>
  <si>
    <t>rebate_checks_arp_contribution</t>
  </si>
  <si>
    <t>federal_ui_contribution</t>
  </si>
  <si>
    <t>state_ui_contribution</t>
  </si>
  <si>
    <t>federal_subsidies_contribution</t>
  </si>
  <si>
    <t>federal_aid_to_small_businesses_arp_contribution</t>
  </si>
  <si>
    <t>federal_other_direct_aid_arp_contribution</t>
  </si>
  <si>
    <t>federal_other_vulnerable_arp_contribution</t>
  </si>
  <si>
    <t>federal_student_loans_contribution</t>
  </si>
  <si>
    <t>state_subsidies_contribution</t>
  </si>
  <si>
    <t>federal_health_outlays_contribution</t>
  </si>
  <si>
    <t>state_health_outlays_contribution</t>
  </si>
  <si>
    <t>federal_contribution</t>
  </si>
  <si>
    <t>state_contribution</t>
  </si>
  <si>
    <t>taxes_contribution</t>
  </si>
  <si>
    <t>transfers_contribution</t>
  </si>
  <si>
    <t>consumption_contribution</t>
  </si>
  <si>
    <t>fiscal_impact_measure</t>
  </si>
  <si>
    <t>fiscal_impact_4q_ma</t>
  </si>
  <si>
    <t>2023 Q2</t>
  </si>
  <si>
    <t>historical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</si>
  <si>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</si>
  <si>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</si>
  <si>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</si>
  <si>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</si>
  <si>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</si>
  <si>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</si>
  <si>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</si>
  <si>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</si>
  <si>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</si>
  <si>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projection</t>
  </si>
  <si>
    <t>2025 Q4</t>
  </si>
  <si>
    <t>2026 Q1</t>
  </si>
  <si>
    <t>2026 Q2</t>
  </si>
  <si>
    <t>2026 Q3</t>
  </si>
  <si>
    <t>2026 Q4</t>
  </si>
  <si>
    <t>2027 Q1</t>
  </si>
  <si>
    <t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</si>
</sst>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"/>
  <sheetViews>
    <sheetView tabSelected="1" workbookViewId="0">
      <selection activeCell="F21" sqref="F21"/>
    </sheetView>
  </sheetViews>
  <sheetFormatPr defaultColWidth="10.90625"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35">
      <c r="A2" t="s">
        <v>31</v>
      </c>
      <c r="B2" t="s">
        <v>32</v>
      </c>
      <c r="C2">
        <v>-1</v>
      </c>
      <c r="D2">
        <v>-0.14802611157274501</v>
      </c>
      <c r="E2">
        <v>-0.14802611157274501</v>
      </c>
      <c r="F2">
        <f>D2-E2</f>
        <v>0</v>
      </c>
      <c r="G2">
        <v>0.32935983920596001</v>
      </c>
      <c r="H2">
        <v>0.40168306970290102</v>
      </c>
      <c r="I2">
        <v>0.18603734505634201</v>
      </c>
      <c r="J2">
        <v>-8.21940867312759E-2</v>
      </c>
      <c r="K2">
        <v>0.235358292343292</v>
      </c>
      <c r="L2">
        <v>-4.1113771969934799E-2</v>
      </c>
      <c r="M2">
        <v>-0.110305489658881</v>
      </c>
      <c r="N2">
        <v>-3.9292216707090502E-2</v>
      </c>
      <c r="O2">
        <v>-0.250812072873001</v>
      </c>
      <c r="P2">
        <v>-0.42408041297215698</v>
      </c>
      <c r="Q2">
        <v>-0.28390642327914301</v>
      </c>
      <c r="R2">
        <v>2.09480010861266E-2</v>
      </c>
      <c r="S2">
        <v>-0.36373095377918202</v>
      </c>
      <c r="T2">
        <v>5.0505984440364898E-4</v>
      </c>
      <c r="U2">
        <v>-4.1864783224422601E-2</v>
      </c>
      <c r="V2">
        <v>-9.6126641659024806E-2</v>
      </c>
      <c r="W2">
        <v>-8.0992848567109695E-3</v>
      </c>
      <c r="X2">
        <v>-8.9153330195928897E-4</v>
      </c>
      <c r="Y2">
        <v>0.171036490137769</v>
      </c>
      <c r="Z2">
        <v>0.10677013991119801</v>
      </c>
      <c r="AA2">
        <v>-0.23313551122967099</v>
      </c>
      <c r="AB2">
        <v>0.414469238862886</v>
      </c>
      <c r="AC2">
        <v>0.69855452970050502</v>
      </c>
      <c r="AD2">
        <v>-1.32629278524743</v>
      </c>
      <c r="AE2">
        <v>-0.61796280604048204</v>
      </c>
      <c r="AF2">
        <v>-0.436629078407267</v>
      </c>
      <c r="AG2">
        <v>-0.83627524630429895</v>
      </c>
    </row>
    <row r="3" spans="1:33" x14ac:dyDescent="0.35">
      <c r="A3" t="s">
        <v>33</v>
      </c>
      <c r="B3" t="s">
        <v>32</v>
      </c>
      <c r="C3">
        <v>-1</v>
      </c>
      <c r="D3">
        <v>0.29138772747964098</v>
      </c>
      <c r="E3">
        <v>0.29138772747964098</v>
      </c>
      <c r="F3">
        <f t="shared" ref="F3:F18" si="0">D3-E3</f>
        <v>0</v>
      </c>
      <c r="G3">
        <v>0.20751042016384599</v>
      </c>
      <c r="H3">
        <v>0.113357457258702</v>
      </c>
      <c r="I3">
        <v>9.7716048972668196E-2</v>
      </c>
      <c r="J3">
        <v>-5.91532101359378E-2</v>
      </c>
      <c r="K3">
        <v>0.23102780499548001</v>
      </c>
      <c r="L3">
        <v>-3.3405652214011802E-2</v>
      </c>
      <c r="M3">
        <v>-3.5337896134434499E-2</v>
      </c>
      <c r="N3">
        <v>-9.7526156234725395E-2</v>
      </c>
      <c r="O3">
        <v>-3.3451247097991299E-2</v>
      </c>
      <c r="P3">
        <v>-7.7388778211201796E-3</v>
      </c>
      <c r="Q3">
        <v>-0.13051736587268001</v>
      </c>
      <c r="R3">
        <v>4.4718452819064197E-2</v>
      </c>
      <c r="S3">
        <v>-0.37795184928776498</v>
      </c>
      <c r="T3">
        <v>5.950273560484E-4</v>
      </c>
      <c r="U3">
        <v>-2.6783451026086001E-2</v>
      </c>
      <c r="V3">
        <v>-9.6213710590928994E-2</v>
      </c>
      <c r="W3">
        <v>-0.13797271237506301</v>
      </c>
      <c r="X3">
        <v>-6.5844159084846603E-5</v>
      </c>
      <c r="Y3">
        <v>-8.0930364752975201E-2</v>
      </c>
      <c r="Z3">
        <v>0.246367721831767</v>
      </c>
      <c r="AA3">
        <v>-0.13834317705567301</v>
      </c>
      <c r="AB3">
        <v>0.63724132469915995</v>
      </c>
      <c r="AC3">
        <v>0.34932404438449699</v>
      </c>
      <c r="AD3">
        <v>-0.73419659789214797</v>
      </c>
      <c r="AE3">
        <v>-0.38219863522876701</v>
      </c>
      <c r="AF3">
        <v>0.116699512414719</v>
      </c>
      <c r="AG3">
        <v>-0.206163355339544</v>
      </c>
    </row>
    <row r="4" spans="1:33" x14ac:dyDescent="0.35">
      <c r="A4" t="s">
        <v>34</v>
      </c>
      <c r="B4" t="s">
        <v>32</v>
      </c>
      <c r="C4">
        <v>-1</v>
      </c>
      <c r="D4">
        <v>7.0409518749265695E-2</v>
      </c>
      <c r="E4">
        <v>7.0409518749265695E-2</v>
      </c>
      <c r="F4">
        <f t="shared" si="0"/>
        <v>0</v>
      </c>
      <c r="G4">
        <v>0.334563146011224</v>
      </c>
      <c r="H4">
        <v>8.4390722113830099E-2</v>
      </c>
      <c r="I4">
        <v>5.2044238372703902E-2</v>
      </c>
      <c r="J4">
        <v>-7.1699905905479602E-2</v>
      </c>
      <c r="K4">
        <v>8.2750407381655997E-2</v>
      </c>
      <c r="L4">
        <v>-3.7624014205788599E-2</v>
      </c>
      <c r="M4">
        <v>-0.20119765322797301</v>
      </c>
      <c r="N4">
        <v>-0.25248892574124898</v>
      </c>
      <c r="O4">
        <v>0</v>
      </c>
      <c r="P4">
        <v>-6.2254865808341201E-3</v>
      </c>
      <c r="Q4">
        <v>-7.4273918697488001E-3</v>
      </c>
      <c r="R4">
        <v>2.51765765432529E-2</v>
      </c>
      <c r="S4">
        <v>-0.16467395034127</v>
      </c>
      <c r="T4">
        <v>-5.7101380587429003E-3</v>
      </c>
      <c r="U4">
        <v>-2.6574551007999901E-2</v>
      </c>
      <c r="V4">
        <v>-9.6631639124960103E-2</v>
      </c>
      <c r="W4">
        <v>-0.112668281418978</v>
      </c>
      <c r="X4">
        <v>-4.64375413991062E-5</v>
      </c>
      <c r="Y4">
        <v>5.7480661108821697E-2</v>
      </c>
      <c r="Z4">
        <v>7.3497892891865396E-2</v>
      </c>
      <c r="AA4">
        <v>0.28189703895139501</v>
      </c>
      <c r="AB4">
        <v>0.12307562580909499</v>
      </c>
      <c r="AC4">
        <v>0.109920446431576</v>
      </c>
      <c r="AD4">
        <v>-0.71934747789901798</v>
      </c>
      <c r="AE4">
        <v>-0.60859101476916899</v>
      </c>
      <c r="AF4">
        <v>-0.20361835000867901</v>
      </c>
      <c r="AG4">
        <v>-0.15496258918560801</v>
      </c>
    </row>
    <row r="5" spans="1:33" x14ac:dyDescent="0.35">
      <c r="A5" t="s">
        <v>35</v>
      </c>
      <c r="B5" t="s">
        <v>32</v>
      </c>
      <c r="C5">
        <v>-1</v>
      </c>
      <c r="D5">
        <v>-9.5656904722252106E-2</v>
      </c>
      <c r="E5">
        <v>-9.5656904722252106E-2</v>
      </c>
      <c r="F5">
        <f t="shared" si="0"/>
        <v>0</v>
      </c>
      <c r="G5">
        <v>9.6940855523302893E-2</v>
      </c>
      <c r="H5">
        <v>0.49002857232950098</v>
      </c>
      <c r="I5">
        <v>0.208391135077172</v>
      </c>
      <c r="J5">
        <v>-6.0391933673744902E-2</v>
      </c>
      <c r="K5">
        <v>0.127323007835629</v>
      </c>
      <c r="L5">
        <v>-3.1435768777114702E-2</v>
      </c>
      <c r="M5">
        <v>-1.5431334318346699E-2</v>
      </c>
      <c r="N5">
        <v>-2.4236114768831401E-2</v>
      </c>
      <c r="O5">
        <v>0</v>
      </c>
      <c r="P5">
        <v>-0.1116771169521</v>
      </c>
      <c r="Q5">
        <v>-1.4130478598766601E-3</v>
      </c>
      <c r="R5">
        <v>1.48527177757743E-2</v>
      </c>
      <c r="S5">
        <v>-0.147876796119602</v>
      </c>
      <c r="T5">
        <v>-6.5334557705919397E-3</v>
      </c>
      <c r="U5">
        <v>-3.7491897544000202E-2</v>
      </c>
      <c r="V5">
        <v>-6.3307767234083601E-2</v>
      </c>
      <c r="W5">
        <v>-0.104470891080262</v>
      </c>
      <c r="X5">
        <v>-5.8359649790091399E-4</v>
      </c>
      <c r="Y5">
        <v>-0.139181652755761</v>
      </c>
      <c r="Z5">
        <v>0.13055531739648699</v>
      </c>
      <c r="AA5">
        <v>-0.141987561627687</v>
      </c>
      <c r="AB5">
        <v>0.14327151242873801</v>
      </c>
      <c r="AC5">
        <v>0.73267847772514905</v>
      </c>
      <c r="AD5">
        <v>-0.50768403721561195</v>
      </c>
      <c r="AE5">
        <v>0.228917102365608</v>
      </c>
      <c r="AF5">
        <v>0.23020105316665901</v>
      </c>
      <c r="AG5">
        <v>-7.33367157086416E-2</v>
      </c>
    </row>
    <row r="6" spans="1:33" x14ac:dyDescent="0.35">
      <c r="A6" t="s">
        <v>36</v>
      </c>
      <c r="B6" t="s">
        <v>32</v>
      </c>
      <c r="C6">
        <v>-1</v>
      </c>
      <c r="D6">
        <v>0.12347864355657601</v>
      </c>
      <c r="E6">
        <v>0.12347864355657601</v>
      </c>
      <c r="F6">
        <f t="shared" si="0"/>
        <v>0</v>
      </c>
      <c r="G6">
        <v>5.1398582782936103E-2</v>
      </c>
      <c r="H6">
        <v>0.350634639232693</v>
      </c>
      <c r="I6">
        <v>0.18132833289649899</v>
      </c>
      <c r="J6">
        <v>-4.6919376760871503E-2</v>
      </c>
      <c r="K6">
        <v>9.4528726965219897E-2</v>
      </c>
      <c r="L6">
        <v>-2.2967963618569998E-2</v>
      </c>
      <c r="M6">
        <v>0.17944505351008599</v>
      </c>
      <c r="N6">
        <v>2.0341748838583099E-2</v>
      </c>
      <c r="O6">
        <v>0</v>
      </c>
      <c r="P6">
        <v>-0.104667995470671</v>
      </c>
      <c r="Q6">
        <v>-6.71988407316382E-4</v>
      </c>
      <c r="R6">
        <v>1.2605510376570201E-2</v>
      </c>
      <c r="S6">
        <v>-0.34619775619210402</v>
      </c>
      <c r="T6">
        <v>-1.6772231715069301E-2</v>
      </c>
      <c r="U6">
        <v>-3.5908570943400497E-2</v>
      </c>
      <c r="V6">
        <v>-5.0238210637218797E-2</v>
      </c>
      <c r="W6">
        <v>-9.6103418388998496E-2</v>
      </c>
      <c r="X6">
        <v>-2.1619606193804901E-3</v>
      </c>
      <c r="Y6">
        <v>-0.10798661114378599</v>
      </c>
      <c r="Z6">
        <v>0.112651604454477</v>
      </c>
      <c r="AA6">
        <v>0.19183196160476301</v>
      </c>
      <c r="AB6">
        <v>-1.6954735265250501E-2</v>
      </c>
      <c r="AC6">
        <v>0.55586415360289798</v>
      </c>
      <c r="AD6">
        <v>-0.435603111701512</v>
      </c>
      <c r="AE6">
        <v>0.122777318364768</v>
      </c>
      <c r="AF6">
        <v>0.29765454470427999</v>
      </c>
      <c r="AG6">
        <v>0.11023419006924499</v>
      </c>
    </row>
    <row r="7" spans="1:33" x14ac:dyDescent="0.35">
      <c r="A7" t="s">
        <v>37</v>
      </c>
      <c r="B7" t="s">
        <v>32</v>
      </c>
      <c r="C7">
        <v>-1</v>
      </c>
      <c r="D7">
        <v>0.40650570357638799</v>
      </c>
      <c r="E7">
        <v>0.40650570357638799</v>
      </c>
      <c r="F7">
        <f t="shared" si="0"/>
        <v>0</v>
      </c>
      <c r="G7">
        <v>0.136691698568599</v>
      </c>
      <c r="H7">
        <v>0.26769889286291498</v>
      </c>
      <c r="I7">
        <v>2.1497719565335398E-2</v>
      </c>
      <c r="J7">
        <v>-4.3703023830997202E-2</v>
      </c>
      <c r="K7">
        <v>-9.5365599689748198E-2</v>
      </c>
      <c r="L7">
        <v>-1.250579938059E-2</v>
      </c>
      <c r="M7">
        <v>0.262851861848517</v>
      </c>
      <c r="N7">
        <v>4.9653197595397103E-2</v>
      </c>
      <c r="O7">
        <v>0</v>
      </c>
      <c r="P7">
        <v>-0.100405578542052</v>
      </c>
      <c r="Q7">
        <v>-3.3408506757194801E-4</v>
      </c>
      <c r="R7">
        <v>1.04559636480671E-2</v>
      </c>
      <c r="S7">
        <v>-0.30976776467698602</v>
      </c>
      <c r="T7">
        <v>-6.6690089586276202E-2</v>
      </c>
      <c r="U7">
        <v>-3.4038325524147602E-2</v>
      </c>
      <c r="V7">
        <v>-4.3936535393618102E-2</v>
      </c>
      <c r="W7">
        <v>-5.5729672642463098E-2</v>
      </c>
      <c r="X7">
        <v>-4.4268524616808E-5</v>
      </c>
      <c r="Y7">
        <v>0.20674711777249699</v>
      </c>
      <c r="Z7">
        <v>4.4619556639790899E-2</v>
      </c>
      <c r="AA7">
        <v>0.63577579400065898</v>
      </c>
      <c r="AB7">
        <v>-9.2578391855672001E-2</v>
      </c>
      <c r="AC7">
        <v>0.13795910196057001</v>
      </c>
      <c r="AD7">
        <v>-3.5405604657315098E-2</v>
      </c>
      <c r="AE7">
        <v>0.102604629247405</v>
      </c>
      <c r="AF7">
        <v>0.64580203139239201</v>
      </c>
      <c r="AG7">
        <v>0.24250981981366301</v>
      </c>
    </row>
    <row r="8" spans="1:33" x14ac:dyDescent="0.35">
      <c r="A8" t="s">
        <v>38</v>
      </c>
      <c r="B8" t="s">
        <v>32</v>
      </c>
      <c r="C8">
        <v>-1</v>
      </c>
      <c r="D8">
        <v>0.133873781721287</v>
      </c>
      <c r="E8">
        <v>0.133873781721287</v>
      </c>
      <c r="F8">
        <f t="shared" si="0"/>
        <v>0</v>
      </c>
      <c r="G8">
        <v>4.0840032414223203E-2</v>
      </c>
      <c r="H8">
        <v>0.26578106401662999</v>
      </c>
      <c r="I8">
        <v>2.9094858618363102E-2</v>
      </c>
      <c r="J8">
        <v>-3.4339266354473298E-2</v>
      </c>
      <c r="K8">
        <v>-0.133729009875071</v>
      </c>
      <c r="L8">
        <v>1.13690102002034E-2</v>
      </c>
      <c r="M8">
        <v>0.27225397073088298</v>
      </c>
      <c r="N8">
        <v>1.6960520897413001E-2</v>
      </c>
      <c r="O8">
        <v>0</v>
      </c>
      <c r="P8">
        <v>-0.10036426676492601</v>
      </c>
      <c r="Q8">
        <v>-1.7257240165849299E-4</v>
      </c>
      <c r="R8">
        <v>5.7762572067887397E-3</v>
      </c>
      <c r="S8">
        <v>-0.15458604468813</v>
      </c>
      <c r="T8">
        <v>-2.9046972423239802E-2</v>
      </c>
      <c r="U8">
        <v>-2.2294995129037001E-2</v>
      </c>
      <c r="V8">
        <v>-2.6522516209101999E-2</v>
      </c>
      <c r="W8">
        <v>-3.0672088360098701E-2</v>
      </c>
      <c r="X8">
        <v>-5.5553434027490802E-5</v>
      </c>
      <c r="Y8">
        <v>0.14998115565769099</v>
      </c>
      <c r="Z8">
        <v>0.15091666254341701</v>
      </c>
      <c r="AA8">
        <v>0.152548376323595</v>
      </c>
      <c r="AB8">
        <v>2.2165437811915399E-2</v>
      </c>
      <c r="AC8">
        <v>0.13854798222895001</v>
      </c>
      <c r="AD8">
        <v>0.23270567166299999</v>
      </c>
      <c r="AE8">
        <v>0.37091899841143999</v>
      </c>
      <c r="AF8">
        <v>0.54563281254694995</v>
      </c>
      <c r="AG8">
        <v>0.42982261045257097</v>
      </c>
    </row>
    <row r="9" spans="1:33" x14ac:dyDescent="0.35">
      <c r="A9" t="s">
        <v>39</v>
      </c>
      <c r="B9" t="s">
        <v>32</v>
      </c>
      <c r="C9">
        <v>-1</v>
      </c>
      <c r="D9">
        <v>-0.51945344220673595</v>
      </c>
      <c r="E9">
        <v>-0.51945344220673595</v>
      </c>
      <c r="F9">
        <f t="shared" si="0"/>
        <v>0</v>
      </c>
      <c r="G9">
        <v>-3.6329068795956501E-2</v>
      </c>
      <c r="H9">
        <v>-6.8923507981179702E-2</v>
      </c>
      <c r="I9">
        <v>4.5824279035484701E-2</v>
      </c>
      <c r="J9">
        <v>-4.2648201337320401E-3</v>
      </c>
      <c r="K9">
        <v>2.4851299983382799E-2</v>
      </c>
      <c r="L9">
        <v>1.3575618265951101E-2</v>
      </c>
      <c r="M9">
        <v>0.18178302235421301</v>
      </c>
      <c r="N9">
        <v>-8.9342834717323107E-3</v>
      </c>
      <c r="O9">
        <v>0</v>
      </c>
      <c r="P9">
        <v>-9.6865948504741201E-2</v>
      </c>
      <c r="Q9">
        <v>0</v>
      </c>
      <c r="R9">
        <v>4.4613387682665602E-4</v>
      </c>
      <c r="S9">
        <v>-7.3745275639246904E-2</v>
      </c>
      <c r="T9">
        <v>-2.81145842287071E-2</v>
      </c>
      <c r="U9">
        <v>-1.4963859323346399E-2</v>
      </c>
      <c r="V9">
        <v>-1.06082419539028E-2</v>
      </c>
      <c r="W9">
        <v>-3.0099482833375799E-2</v>
      </c>
      <c r="X9">
        <v>-3.0217362087457E-4</v>
      </c>
      <c r="Y9">
        <v>0.103999770504797</v>
      </c>
      <c r="Z9">
        <v>2.61260701306016E-3</v>
      </c>
      <c r="AA9">
        <v>-1.16995132804385</v>
      </c>
      <c r="AB9">
        <v>0.614168817041161</v>
      </c>
      <c r="AC9">
        <v>1.11027166496448E-2</v>
      </c>
      <c r="AD9">
        <v>2.5525593403408701E-2</v>
      </c>
      <c r="AE9">
        <v>3.6625316518402701E-2</v>
      </c>
      <c r="AF9">
        <v>-0.51915719448428999</v>
      </c>
      <c r="AG9">
        <v>0.24248304853983299</v>
      </c>
    </row>
    <row r="10" spans="1:33" x14ac:dyDescent="0.35">
      <c r="A10" t="s">
        <v>40</v>
      </c>
      <c r="B10" t="s">
        <v>32</v>
      </c>
      <c r="C10">
        <v>-1</v>
      </c>
      <c r="D10">
        <v>-0.49659070787292697</v>
      </c>
      <c r="E10">
        <v>-0.49659070787292697</v>
      </c>
      <c r="F10">
        <f t="shared" si="0"/>
        <v>0</v>
      </c>
      <c r="G10">
        <v>9.0506589373416602E-2</v>
      </c>
      <c r="H10">
        <v>-0.49360351627841198</v>
      </c>
      <c r="I10">
        <v>-3.9331912203167403E-2</v>
      </c>
      <c r="J10">
        <v>7.0579943690931299E-3</v>
      </c>
      <c r="K10">
        <v>0.187169199391747</v>
      </c>
      <c r="L10">
        <v>1.9233387701995601E-3</v>
      </c>
      <c r="M10">
        <v>0.46724310870124203</v>
      </c>
      <c r="N10">
        <v>-1.45027864177198E-2</v>
      </c>
      <c r="O10">
        <v>0</v>
      </c>
      <c r="P10">
        <v>-9.4949894815243602E-2</v>
      </c>
      <c r="Q10">
        <v>0</v>
      </c>
      <c r="R10">
        <v>1.8247773810152401E-3</v>
      </c>
      <c r="S10">
        <v>-9.49991988352311E-2</v>
      </c>
      <c r="T10">
        <v>-2.6737310243037899E-2</v>
      </c>
      <c r="U10">
        <v>-1.3483429468480799E-2</v>
      </c>
      <c r="V10">
        <v>-1.00208283497742E-2</v>
      </c>
      <c r="W10">
        <v>-2.3738219379538301E-2</v>
      </c>
      <c r="X10">
        <v>-1.03804464936561E-3</v>
      </c>
      <c r="Y10">
        <v>0.285016460293538</v>
      </c>
      <c r="Z10">
        <v>-2.99527412765348E-2</v>
      </c>
      <c r="AA10">
        <v>-0.94596316734547603</v>
      </c>
      <c r="AB10">
        <v>0.53987904884596605</v>
      </c>
      <c r="AC10">
        <v>-0.33591118113824903</v>
      </c>
      <c r="AD10">
        <v>0.44530218131426502</v>
      </c>
      <c r="AE10">
        <v>-0.189041894533449</v>
      </c>
      <c r="AF10">
        <v>-0.59512601303295898</v>
      </c>
      <c r="AG10">
        <v>1.92879091055238E-2</v>
      </c>
    </row>
    <row r="11" spans="1:33" x14ac:dyDescent="0.35">
      <c r="A11" t="s">
        <v>41</v>
      </c>
      <c r="B11" t="s">
        <v>42</v>
      </c>
      <c r="C11">
        <v>0</v>
      </c>
      <c r="D11">
        <v>0.163111297253933</v>
      </c>
      <c r="E11">
        <v>0.163111297253933</v>
      </c>
      <c r="F11">
        <f t="shared" si="0"/>
        <v>0</v>
      </c>
      <c r="G11">
        <v>-0.18895750920943799</v>
      </c>
      <c r="H11">
        <v>-0.225617648258191</v>
      </c>
      <c r="I11">
        <v>3.1964415242308503E-2</v>
      </c>
      <c r="J11">
        <v>0.18570531800002099</v>
      </c>
      <c r="K11">
        <v>0.18199766032275999</v>
      </c>
      <c r="L11">
        <v>6.9886573575032003E-3</v>
      </c>
      <c r="M11">
        <v>0.26976939094510399</v>
      </c>
      <c r="N11">
        <v>-2.4409454094093301E-4</v>
      </c>
      <c r="O11">
        <v>0</v>
      </c>
      <c r="P11">
        <v>-9.9896093511049611E-4</v>
      </c>
      <c r="Q11">
        <v>0</v>
      </c>
      <c r="R11">
        <v>-8.3673707460128807E-3</v>
      </c>
      <c r="S11">
        <v>-7.46265037458759E-2</v>
      </c>
      <c r="T11">
        <v>-2.6048206028168701E-2</v>
      </c>
      <c r="U11">
        <v>-1.38103838239934E-2</v>
      </c>
      <c r="V11">
        <v>-8.5423386433022899E-3</v>
      </c>
      <c r="W11">
        <v>-2.9638323362874801E-2</v>
      </c>
      <c r="X11">
        <v>-5.2655433301352999E-4</v>
      </c>
      <c r="Y11">
        <v>0.22450059422556301</v>
      </c>
      <c r="Z11">
        <v>1.9343238159436999E-3</v>
      </c>
      <c r="AA11">
        <v>0.110782082236574</v>
      </c>
      <c r="AB11">
        <v>-0.136628294192079</v>
      </c>
      <c r="AC11">
        <v>0.18149619496345601</v>
      </c>
      <c r="AD11">
        <v>0.333503920049117</v>
      </c>
      <c r="AE11">
        <v>0.21435959261305701</v>
      </c>
      <c r="AF11">
        <v>0.18851338065755199</v>
      </c>
      <c r="AG11">
        <v>-9.5034253578186206E-2</v>
      </c>
    </row>
    <row r="12" spans="1:33" x14ac:dyDescent="0.35">
      <c r="A12" t="s">
        <v>43</v>
      </c>
      <c r="B12" t="s">
        <v>42</v>
      </c>
      <c r="C12">
        <v>0</v>
      </c>
      <c r="D12">
        <v>-0.55089403689012195</v>
      </c>
      <c r="E12">
        <v>5.1277427045617302E-2</v>
      </c>
      <c r="F12">
        <f t="shared" si="0"/>
        <v>-0.60217146393573928</v>
      </c>
      <c r="G12">
        <v>-0.18797856990234901</v>
      </c>
      <c r="H12">
        <v>-0.18376482299076699</v>
      </c>
      <c r="I12">
        <v>1.2855036336618801E-2</v>
      </c>
      <c r="J12">
        <v>6.5942042814213703E-2</v>
      </c>
      <c r="K12">
        <v>7.1097532169157304E-2</v>
      </c>
      <c r="L12">
        <v>9.6981954247357793E-3</v>
      </c>
      <c r="M12">
        <v>0.21821118449858201</v>
      </c>
      <c r="N12">
        <v>2.68155371055342E-2</v>
      </c>
      <c r="O12">
        <v>0</v>
      </c>
      <c r="P12">
        <v>-9.7192310751689304E-4</v>
      </c>
      <c r="Q12">
        <v>0</v>
      </c>
      <c r="R12">
        <v>-7.7753445618424198E-3</v>
      </c>
      <c r="S12">
        <v>-3.6283497165518701E-2</v>
      </c>
      <c r="T12">
        <v>-3.9026383613157399E-3</v>
      </c>
      <c r="U12">
        <v>-1.28548485299851E-2</v>
      </c>
      <c r="V12">
        <v>-7.6754748377312098E-3</v>
      </c>
      <c r="W12">
        <v>-2.4548492152382501E-2</v>
      </c>
      <c r="X12">
        <v>-4.45468017451337E-4</v>
      </c>
      <c r="Y12">
        <v>0.22947080428754399</v>
      </c>
      <c r="Z12">
        <v>2.0152617978004699E-2</v>
      </c>
      <c r="AA12">
        <v>-0.65524346818030399</v>
      </c>
      <c r="AB12">
        <v>-8.3629138612166795E-2</v>
      </c>
      <c r="AC12">
        <v>-2.3945291611309601E-2</v>
      </c>
      <c r="AD12">
        <v>0.39989251289800798</v>
      </c>
      <c r="AE12">
        <v>-1.2239512931138601</v>
      </c>
      <c r="AF12">
        <v>-1.9628238999063301</v>
      </c>
      <c r="AG12">
        <v>-0.722148431691507</v>
      </c>
    </row>
    <row r="13" spans="1:33" x14ac:dyDescent="0.35">
      <c r="A13" t="s">
        <v>44</v>
      </c>
      <c r="B13" t="s">
        <v>42</v>
      </c>
      <c r="C13">
        <v>0</v>
      </c>
      <c r="D13">
        <v>0.89353248872401803</v>
      </c>
      <c r="E13">
        <v>0.29588504945161798</v>
      </c>
      <c r="F13">
        <f t="shared" si="0"/>
        <v>0.59764743927240005</v>
      </c>
      <c r="G13">
        <v>-0.18679326743754099</v>
      </c>
      <c r="H13">
        <v>-0.157889086807043</v>
      </c>
      <c r="I13">
        <v>-5.17525296486206E-3</v>
      </c>
      <c r="J13">
        <v>6.3538307727449006E-2</v>
      </c>
      <c r="K13">
        <v>0.313882330011445</v>
      </c>
      <c r="L13">
        <v>6.5070205318474104E-3</v>
      </c>
      <c r="M13">
        <v>0.150319148575252</v>
      </c>
      <c r="N13">
        <v>4.0643938098240899E-2</v>
      </c>
      <c r="O13">
        <v>0</v>
      </c>
      <c r="P13">
        <v>-9.4783565666223799E-4</v>
      </c>
      <c r="Q13">
        <v>0</v>
      </c>
      <c r="R13">
        <v>-7.1485207788222101E-3</v>
      </c>
      <c r="S13">
        <v>-2.8042467224146102E-3</v>
      </c>
      <c r="T13">
        <v>-2.66767452900793E-3</v>
      </c>
      <c r="U13">
        <v>-1.4294821389197999E-2</v>
      </c>
      <c r="V13">
        <v>-7.0418371850735403E-3</v>
      </c>
      <c r="W13">
        <v>-2.2803875892856401E-2</v>
      </c>
      <c r="X13">
        <v>-4.11448413644342E-4</v>
      </c>
      <c r="Y13">
        <v>0.27300490883686801</v>
      </c>
      <c r="Z13">
        <v>2.93317054991943E-2</v>
      </c>
      <c r="AA13">
        <v>0.84183310640180797</v>
      </c>
      <c r="AB13">
        <v>-0.13509388511533099</v>
      </c>
      <c r="AC13">
        <v>0.22128179875224799</v>
      </c>
      <c r="AD13">
        <v>0.43470650007238398</v>
      </c>
      <c r="AE13">
        <v>0.414964480426672</v>
      </c>
      <c r="AF13">
        <v>1.1217037017131499</v>
      </c>
      <c r="AG13">
        <v>-0.31193320764214699</v>
      </c>
    </row>
    <row r="14" spans="1:33" x14ac:dyDescent="0.35">
      <c r="A14" t="s">
        <v>45</v>
      </c>
      <c r="B14" t="s">
        <v>42</v>
      </c>
      <c r="C14">
        <v>0</v>
      </c>
      <c r="D14">
        <v>2.5063031368209299E-2</v>
      </c>
      <c r="E14">
        <v>2.5063031368209299E-2</v>
      </c>
      <c r="F14">
        <f t="shared" si="0"/>
        <v>0</v>
      </c>
      <c r="G14">
        <v>-0.19788469881148801</v>
      </c>
      <c r="H14">
        <v>-0.108594546287687</v>
      </c>
      <c r="I14">
        <v>2.60357465574721E-3</v>
      </c>
      <c r="J14">
        <v>6.1199868765372603E-2</v>
      </c>
      <c r="K14">
        <v>0.24883676109205699</v>
      </c>
      <c r="L14">
        <v>4.4335969424576004E-3</v>
      </c>
      <c r="M14">
        <v>-5.1940570295064298E-2</v>
      </c>
      <c r="N14">
        <v>4.94236866899661E-2</v>
      </c>
      <c r="O14">
        <v>0</v>
      </c>
      <c r="P14">
        <v>0</v>
      </c>
      <c r="Q14">
        <v>0</v>
      </c>
      <c r="R14">
        <v>-7.6631956825140403E-3</v>
      </c>
      <c r="S14">
        <v>-9.3948558553592703E-5</v>
      </c>
      <c r="T14">
        <v>-2.2399328560741599E-3</v>
      </c>
      <c r="U14">
        <v>-9.8355115133880299E-3</v>
      </c>
      <c r="V14">
        <v>-6.46551279772871E-3</v>
      </c>
      <c r="W14">
        <v>-2.0976970786457501E-2</v>
      </c>
      <c r="X14">
        <v>-3.82465757702634E-4</v>
      </c>
      <c r="Y14">
        <v>0.186608335863096</v>
      </c>
      <c r="Z14">
        <v>3.1639762071453803E-2</v>
      </c>
      <c r="AA14">
        <v>-5.9218055110206197E-2</v>
      </c>
      <c r="AB14">
        <v>-0.11360361233307199</v>
      </c>
      <c r="AC14">
        <v>0.20865971156872001</v>
      </c>
      <c r="AD14">
        <v>0.16814454714586699</v>
      </c>
      <c r="AE14">
        <v>0.23643146162113099</v>
      </c>
      <c r="AF14">
        <v>6.3609794177852799E-2</v>
      </c>
      <c r="AG14">
        <v>-0.14724925583944401</v>
      </c>
    </row>
    <row r="15" spans="1:33" x14ac:dyDescent="0.35">
      <c r="A15" t="s">
        <v>46</v>
      </c>
      <c r="B15" t="s">
        <v>42</v>
      </c>
      <c r="C15">
        <v>0</v>
      </c>
      <c r="D15">
        <v>-3.9419277329213298E-2</v>
      </c>
      <c r="E15">
        <v>-3.9419277329213298E-2</v>
      </c>
      <c r="F15">
        <f t="shared" si="0"/>
        <v>0</v>
      </c>
      <c r="G15">
        <v>-0.18767070266208299</v>
      </c>
      <c r="H15">
        <v>-0.107081655066805</v>
      </c>
      <c r="I15">
        <v>1.5495770924980201E-2</v>
      </c>
      <c r="J15">
        <v>6.6290283313533593E-2</v>
      </c>
      <c r="K15">
        <v>7.6554648901424605E-2</v>
      </c>
      <c r="L15">
        <v>3.7277292757793702E-3</v>
      </c>
      <c r="M15">
        <v>7.60708969489272E-2</v>
      </c>
      <c r="N15">
        <v>9.3675739065071095E-3</v>
      </c>
      <c r="O15">
        <v>0</v>
      </c>
      <c r="P15">
        <v>0</v>
      </c>
      <c r="Q15">
        <v>0</v>
      </c>
      <c r="R15">
        <v>-6.6907591403234396E-3</v>
      </c>
      <c r="S15">
        <v>6.0136996133741498E-4</v>
      </c>
      <c r="T15">
        <v>-2.8257296480183498E-3</v>
      </c>
      <c r="U15">
        <v>-6.7070295019788801E-3</v>
      </c>
      <c r="V15">
        <v>-5.76628720574865E-3</v>
      </c>
      <c r="W15">
        <v>-1.9015005404116901E-2</v>
      </c>
      <c r="X15">
        <v>-3.32772769679777E-4</v>
      </c>
      <c r="Y15">
        <v>0.16994915028806101</v>
      </c>
      <c r="Z15">
        <v>5.6846796386391197E-3</v>
      </c>
      <c r="AA15">
        <v>-7.3368861520993006E-2</v>
      </c>
      <c r="AB15">
        <v>-0.15372111847030301</v>
      </c>
      <c r="AC15">
        <v>5.5087851799672398E-2</v>
      </c>
      <c r="AD15">
        <v>0.22026520761650101</v>
      </c>
      <c r="AE15">
        <v>0.13522345777167399</v>
      </c>
      <c r="AF15">
        <v>-9.1866522219622701E-2</v>
      </c>
      <c r="AG15">
        <v>-0.217344231558738</v>
      </c>
    </row>
    <row r="16" spans="1:33" x14ac:dyDescent="0.35">
      <c r="A16" t="s">
        <v>47</v>
      </c>
      <c r="B16" t="s">
        <v>42</v>
      </c>
      <c r="C16">
        <v>0</v>
      </c>
      <c r="D16">
        <v>-0.134754265364598</v>
      </c>
      <c r="E16">
        <v>-0.134754265364598</v>
      </c>
      <c r="F16">
        <f t="shared" si="0"/>
        <v>0</v>
      </c>
      <c r="G16">
        <v>-0.198482369960888</v>
      </c>
      <c r="H16">
        <v>-8.53676104400794E-2</v>
      </c>
      <c r="I16">
        <v>2.67850730649783E-2</v>
      </c>
      <c r="J16">
        <v>7.2346729876637594E-2</v>
      </c>
      <c r="K16">
        <v>-5.3219630374798398E-2</v>
      </c>
      <c r="L16">
        <v>5.4605074072783004E-3</v>
      </c>
      <c r="M16">
        <v>0.124508999772188</v>
      </c>
      <c r="N16">
        <v>9.4824810682655695E-3</v>
      </c>
      <c r="O16">
        <v>0</v>
      </c>
      <c r="P16">
        <v>0</v>
      </c>
      <c r="Q16">
        <v>0</v>
      </c>
      <c r="R16">
        <v>-5.5662077626494897E-3</v>
      </c>
      <c r="S16">
        <v>2.3570059463391998E-3</v>
      </c>
      <c r="T16">
        <v>-2.9728776926127998E-4</v>
      </c>
      <c r="U16">
        <v>-3.0653343091065401E-3</v>
      </c>
      <c r="V16">
        <v>-3.2052847720757198E-3</v>
      </c>
      <c r="W16">
        <v>-1.2025895631619E-2</v>
      </c>
      <c r="X16">
        <v>-3.2731495224799399E-4</v>
      </c>
      <c r="Y16">
        <v>0.115959358088856</v>
      </c>
      <c r="Z16">
        <v>-7.1113242576673098E-3</v>
      </c>
      <c r="AA16">
        <v>-0.19354294611066999</v>
      </c>
      <c r="AB16">
        <v>-0.13969368921481601</v>
      </c>
      <c r="AC16">
        <v>-3.3915336615843603E-2</v>
      </c>
      <c r="AD16">
        <v>0.220605703294071</v>
      </c>
      <c r="AE16">
        <v>4.67700700012115E-2</v>
      </c>
      <c r="AF16">
        <v>-0.286466565324275</v>
      </c>
      <c r="AG16">
        <v>0.20174510208677701</v>
      </c>
    </row>
    <row r="17" spans="1:33" x14ac:dyDescent="0.35">
      <c r="A17" t="s">
        <v>48</v>
      </c>
      <c r="B17" t="s">
        <v>42</v>
      </c>
      <c r="C17">
        <v>0</v>
      </c>
      <c r="D17">
        <v>-6.4067477393471503E-2</v>
      </c>
      <c r="E17">
        <v>-6.4067477393471503E-2</v>
      </c>
      <c r="F17">
        <f t="shared" si="0"/>
        <v>0</v>
      </c>
      <c r="G17">
        <v>-0.202712782891321</v>
      </c>
      <c r="H17">
        <v>-0.194568075207978</v>
      </c>
      <c r="I17">
        <v>1.8037615083389399E-2</v>
      </c>
      <c r="J17">
        <v>7.9777253147179095E-2</v>
      </c>
      <c r="K17">
        <v>-0.20024746248282299</v>
      </c>
      <c r="L17">
        <v>5.53307401008943E-3</v>
      </c>
      <c r="M17">
        <v>0.118033903265312</v>
      </c>
      <c r="N17">
        <v>1.03984789268344E-2</v>
      </c>
      <c r="O17">
        <v>0</v>
      </c>
      <c r="P17">
        <v>0</v>
      </c>
      <c r="Q17">
        <v>0</v>
      </c>
      <c r="R17">
        <v>-2.8424159735486601E-3</v>
      </c>
      <c r="S17">
        <v>2.95299579862871E-3</v>
      </c>
      <c r="T17">
        <v>-2.9186795967888E-4</v>
      </c>
      <c r="U17">
        <v>-1.36738306873086E-3</v>
      </c>
      <c r="V17">
        <v>-1.8113138233232799E-3</v>
      </c>
      <c r="W17">
        <v>-1.14904795380124E-2</v>
      </c>
      <c r="X17">
        <v>-3.20879541638737E-4</v>
      </c>
      <c r="Y17">
        <v>0.107258849208799</v>
      </c>
      <c r="Z17">
        <v>-3.9361823659811801E-3</v>
      </c>
      <c r="AA17">
        <v>-0.10882876740007601</v>
      </c>
      <c r="AB17">
        <v>-0.15795149288471599</v>
      </c>
      <c r="AC17">
        <v>-0.29146863978198401</v>
      </c>
      <c r="AD17">
        <v>0.21647096356999401</v>
      </c>
      <c r="AE17">
        <v>-0.114326871949944</v>
      </c>
      <c r="AF17">
        <v>-0.38110713223473602</v>
      </c>
      <c r="AG17">
        <v>-0.173957606400195</v>
      </c>
    </row>
    <row r="18" spans="1:33" x14ac:dyDescent="0.35">
      <c r="A18" t="s">
        <v>49</v>
      </c>
      <c r="B18" t="s">
        <v>42</v>
      </c>
      <c r="C18">
        <v>0</v>
      </c>
      <c r="D18">
        <v>-0.110727166879507</v>
      </c>
      <c r="E18">
        <v>-0.110727166879507</v>
      </c>
      <c r="F18">
        <f t="shared" si="0"/>
        <v>0</v>
      </c>
      <c r="G18">
        <v>-0.19118455586668001</v>
      </c>
      <c r="H18">
        <v>-2.9836760326829598E-2</v>
      </c>
      <c r="I18">
        <v>2.3800282989591699E-2</v>
      </c>
      <c r="J18">
        <v>8.8515383497522901E-2</v>
      </c>
      <c r="K18">
        <v>-0.31115121931629902</v>
      </c>
      <c r="L18">
        <v>4.6304890358173801E-3</v>
      </c>
      <c r="M18">
        <v>0.12270904877794001</v>
      </c>
      <c r="N18">
        <v>1.0613895333767401E-2</v>
      </c>
      <c r="O18">
        <v>0</v>
      </c>
      <c r="P18">
        <v>0</v>
      </c>
      <c r="Q18">
        <v>0</v>
      </c>
      <c r="R18">
        <v>-8.1672553494899301E-4</v>
      </c>
      <c r="S18">
        <v>2.5172321776731001E-3</v>
      </c>
      <c r="T18">
        <v>-2.8515852447727301E-4</v>
      </c>
      <c r="U18">
        <v>-1.0320556003754499E-3</v>
      </c>
      <c r="V18">
        <v>-1.5233461318852799E-3</v>
      </c>
      <c r="W18">
        <v>-9.5126456296744898E-3</v>
      </c>
      <c r="X18">
        <v>-3.1358356411214999E-4</v>
      </c>
      <c r="Y18">
        <v>8.9169655673979206E-2</v>
      </c>
      <c r="Z18">
        <v>1.32367143557229E-3</v>
      </c>
      <c r="AA18">
        <v>-0.15456652081357</v>
      </c>
      <c r="AB18">
        <v>-0.14734520193261699</v>
      </c>
      <c r="AC18">
        <v>-0.22374322780984199</v>
      </c>
      <c r="AD18">
        <v>0.21273202847000799</v>
      </c>
      <c r="AE18">
        <v>-5.0502862285485499E-2</v>
      </c>
      <c r="AF18">
        <v>-0.352414585031672</v>
      </c>
      <c r="AG18">
        <v>-0.27796370120257602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SAhmad</dc:creator>
  <cp:lastModifiedBy>Chase Parry</cp:lastModifiedBy>
  <dcterms:created xsi:type="dcterms:W3CDTF">2025-10-31T19:29:23Z</dcterms:created>
  <dcterms:modified xsi:type="dcterms:W3CDTF">2025-11-03T22:57:41Z</dcterms:modified>
</cp:coreProperties>
</file>