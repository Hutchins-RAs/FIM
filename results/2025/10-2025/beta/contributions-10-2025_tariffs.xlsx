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CParry\Downloads\FIM\results\10-2025\beta\"/>
    </mc:Choice>
  </mc:AlternateContent>
  <xr:revisionPtr revIDLastSave="0" documentId="13_ncr:1_{BB2F9349-6D3C-4201-B3EB-4E9C0EA42158}" xr6:coauthVersionLast="47" xr6:coauthVersionMax="47" xr10:uidLastSave="{00000000-0000-0000-0000-000000000000}"/>
  <bookViews>
    <workbookView xWindow="-13815" yWindow="-16320" windowWidth="29040" windowHeight="15720" xr2:uid="{00000000-000D-0000-FFFF-FFFF00000000}"/>
  </bookViews>
  <sheets>
    <sheet name="without tariffs" sheetId="1" r:id="rId1"/>
    <sheet name="with tariffs" sheetId="2" r:id="rId2"/>
    <sheet name="diff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8" i="1" l="1"/>
  <c r="AB17" i="1"/>
  <c r="AB16" i="1"/>
  <c r="AB15" i="1"/>
  <c r="AB14" i="1"/>
  <c r="AB13" i="1"/>
  <c r="AB12" i="1"/>
  <c r="AB11" i="1"/>
  <c r="AB10" i="1"/>
  <c r="AB9" i="1"/>
  <c r="AB8" i="1"/>
  <c r="AB7" i="1"/>
  <c r="AB6" i="1"/>
  <c r="AB5" i="1"/>
  <c r="AB4" i="1"/>
  <c r="AB3" i="1"/>
  <c r="AB2" i="1"/>
  <c r="AF2" i="3" l="1"/>
  <c r="AF3" i="3"/>
  <c r="AF4" i="3"/>
  <c r="AF5" i="3"/>
  <c r="AF6" i="3"/>
  <c r="AF7" i="3"/>
  <c r="AF8" i="3"/>
  <c r="AF9" i="3"/>
  <c r="AF10" i="3"/>
  <c r="AF11" i="3"/>
  <c r="AF12" i="3"/>
  <c r="AF13" i="3"/>
  <c r="AF14" i="3"/>
  <c r="AF15" i="3"/>
  <c r="AF16" i="3"/>
  <c r="AF17" i="3"/>
  <c r="AF18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E3" i="3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A4" i="3"/>
  <c r="AB4" i="3"/>
  <c r="AC4" i="3"/>
  <c r="AD4" i="3"/>
  <c r="AE4" i="3"/>
  <c r="E5" i="3"/>
  <c r="F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AC5" i="3"/>
  <c r="AD5" i="3"/>
  <c r="AE5" i="3"/>
  <c r="E6" i="3"/>
  <c r="F6" i="3"/>
  <c r="G6" i="3"/>
  <c r="H6" i="3"/>
  <c r="I6" i="3"/>
  <c r="J6" i="3"/>
  <c r="K6" i="3"/>
  <c r="L6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AB6" i="3"/>
  <c r="AC6" i="3"/>
  <c r="AD6" i="3"/>
  <c r="AE6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E9" i="3"/>
  <c r="F9" i="3"/>
  <c r="G9" i="3"/>
  <c r="H9" i="3"/>
  <c r="I9" i="3"/>
  <c r="J9" i="3"/>
  <c r="K9" i="3"/>
  <c r="L9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AB9" i="3"/>
  <c r="AC9" i="3"/>
  <c r="AD9" i="3"/>
  <c r="AE9" i="3"/>
  <c r="E10" i="3"/>
  <c r="F10" i="3"/>
  <c r="G10" i="3"/>
  <c r="H10" i="3"/>
  <c r="I10" i="3"/>
  <c r="J10" i="3"/>
  <c r="K10" i="3"/>
  <c r="L10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AC11" i="3"/>
  <c r="AD11" i="3"/>
  <c r="AE11" i="3"/>
  <c r="E12" i="3"/>
  <c r="F12" i="3"/>
  <c r="G12" i="3"/>
  <c r="H12" i="3"/>
  <c r="I12" i="3"/>
  <c r="J12" i="3"/>
  <c r="K12" i="3"/>
  <c r="L12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AA12" i="3"/>
  <c r="AB12" i="3"/>
  <c r="AC12" i="3"/>
  <c r="AD12" i="3"/>
  <c r="AE12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AD13" i="3"/>
  <c r="AE13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AD16" i="3"/>
  <c r="AE16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2" i="3"/>
  <c r="AB18" i="2"/>
  <c r="AB17" i="2"/>
  <c r="AB16" i="2"/>
  <c r="AB15" i="2"/>
  <c r="AB14" i="2"/>
  <c r="AB13" i="2"/>
  <c r="AB12" i="2"/>
  <c r="AB11" i="2"/>
  <c r="AB10" i="2"/>
  <c r="AB9" i="2"/>
  <c r="AB8" i="2"/>
  <c r="AB7" i="2"/>
  <c r="AB6" i="2"/>
  <c r="AB5" i="2"/>
  <c r="AB4" i="2"/>
  <c r="AB3" i="2"/>
  <c r="AB2" i="2"/>
</calcChain>
</file>

<file path=xl/sharedStrings.xml><?xml version="1.0" encoding="utf-8"?>
<sst xmlns="http://schemas.openxmlformats.org/spreadsheetml/2006/main" count="199" uniqueCount="52">
  <si>
    <t>date</t>
  </si>
  <si>
    <t>id</t>
  </si>
  <si>
    <t>recession</t>
  </si>
  <si>
    <t>federal_purchases_contribution</t>
  </si>
  <si>
    <t>state_purchases_contribution</t>
  </si>
  <si>
    <t>federal_non_corporate_taxes_contribution</t>
  </si>
  <si>
    <t>state_non_corporate_taxes_contribution</t>
  </si>
  <si>
    <t>federal_corporate_taxes_contribution</t>
  </si>
  <si>
    <t>supply_side_ira_contribution</t>
  </si>
  <si>
    <t>state_corporate_taxes_contribution</t>
  </si>
  <si>
    <t>federal_social_benefits_contribution</t>
  </si>
  <si>
    <t>state_social_benefits_contribution</t>
  </si>
  <si>
    <t>rebate_checks_contribution</t>
  </si>
  <si>
    <t>rebate_checks_arp_contribution</t>
  </si>
  <si>
    <t>federal_ui_contribution</t>
  </si>
  <si>
    <t>state_ui_contribution</t>
  </si>
  <si>
    <t>federal_subsidies_contribution</t>
  </si>
  <si>
    <t>federal_aid_to_small_businesses_arp_contribution</t>
  </si>
  <si>
    <t>federal_other_direct_aid_arp_contribution</t>
  </si>
  <si>
    <t>federal_other_vulnerable_arp_contribution</t>
  </si>
  <si>
    <t>federal_student_loans_contribution</t>
  </si>
  <si>
    <t>state_subsidies_contribution</t>
  </si>
  <si>
    <t>federal_health_outlays_contribution</t>
  </si>
  <si>
    <t>state_health_outlays_contribution</t>
  </si>
  <si>
    <t>federal_contribution</t>
  </si>
  <si>
    <t>state_contribution</t>
  </si>
  <si>
    <t>taxes_contribution</t>
  </si>
  <si>
    <t>transfers_contribution</t>
  </si>
  <si>
    <t>consumption_contribution</t>
  </si>
  <si>
    <t>fiscal_impact_measure</t>
  </si>
  <si>
    <t>fiscal_impact_4q_ma</t>
  </si>
  <si>
    <t>2023 Q2</t>
  </si>
  <si>
    <t>historical</t>
  </si>
  <si>
    <t>2023 Q3</t>
  </si>
  <si>
    <t>2023 Q4</t>
  </si>
  <si>
    <t>2024 Q1</t>
  </si>
  <si>
    <t>2024 Q2</t>
  </si>
  <si>
    <t>2024 Q3</t>
  </si>
  <si>
    <t>2024 Q4</t>
  </si>
  <si>
    <t>2025 Q1</t>
  </si>
  <si>
    <t>2025 Q2</t>
  </si>
  <si>
    <t>2025 Q3</t>
  </si>
  <si>
    <t>projection</t>
  </si>
  <si>
    <t>2025 Q4</t>
  </si>
  <si>
    <t>2026 Q1</t>
  </si>
  <si>
    <t>2026 Q2</t>
  </si>
  <si>
    <t>2026 Q3</t>
  </si>
  <si>
    <t>2026 Q4</t>
  </si>
  <si>
    <t>2027 Q1</t>
  </si>
  <si>
    <t>2027 Q2</t>
  </si>
  <si>
    <t>taxes less ira</t>
  </si>
  <si>
    <t>2027 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</si>
</sst>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8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E6" sqref="E6"/>
    </sheetView>
  </sheetViews>
  <sheetFormatPr defaultColWidth="10.90625" defaultRowHeight="14.5" x14ac:dyDescent="0.35"/>
  <sheetData>
    <row r="1" spans="1:33" s="1" customFormat="1" ht="2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s="1" t="s">
        <v>50</v>
      </c>
      <c r="AC1" t="s">
        <v>27</v>
      </c>
      <c r="AD1" t="s">
        <v>28</v>
      </c>
      <c r="AE1" t="s">
        <v>29</v>
      </c>
      <c r="AF1" t="s">
        <v>30</v>
      </c>
      <c r="AG1" s="1" t="s">
        <v>30</v>
      </c>
    </row>
    <row r="2" spans="1:33" x14ac:dyDescent="0.35">
      <c r="A2" t="s">
        <v>33</v>
      </c>
      <c r="B2" t="s">
        <v>32</v>
      </c>
      <c r="C2">
        <v>-1</v>
      </c>
      <c r="D2">
        <v>0.29138772747964098</v>
      </c>
      <c r="E2">
        <v>0.20751042016384599</v>
      </c>
      <c r="F2">
        <v>0.113357457258702</v>
      </c>
      <c r="G2">
        <v>9.7716048972668196E-2</v>
      </c>
      <c r="H2">
        <v>-5.91532101359378E-2</v>
      </c>
      <c r="I2">
        <v>0.23102780499548001</v>
      </c>
      <c r="J2">
        <v>-3.3405652214011802E-2</v>
      </c>
      <c r="K2">
        <v>-3.5337896134434499E-2</v>
      </c>
      <c r="L2">
        <v>-9.7526156234725395E-2</v>
      </c>
      <c r="M2">
        <v>-3.3451247097991299E-2</v>
      </c>
      <c r="N2">
        <v>-7.7388778211201796E-3</v>
      </c>
      <c r="O2">
        <v>-0.13051736587268001</v>
      </c>
      <c r="P2">
        <v>4.4718452819064197E-2</v>
      </c>
      <c r="Q2">
        <v>-0.37795184928776498</v>
      </c>
      <c r="R2">
        <v>5.950273560484E-4</v>
      </c>
      <c r="S2">
        <v>-2.6783451026086001E-2</v>
      </c>
      <c r="T2">
        <v>-9.6213710590928994E-2</v>
      </c>
      <c r="U2">
        <v>-0.13797271237506301</v>
      </c>
      <c r="V2">
        <v>-6.5844159084846603E-5</v>
      </c>
      <c r="W2">
        <v>-8.0930364752975201E-2</v>
      </c>
      <c r="X2">
        <v>0.246367721831767</v>
      </c>
      <c r="Y2">
        <v>-0.13834317705567301</v>
      </c>
      <c r="Z2">
        <v>0.63724132469915995</v>
      </c>
      <c r="AA2">
        <v>0.34932404438449699</v>
      </c>
      <c r="AB2" s="2">
        <f>AA2-I2</f>
        <v>0.11829623938901698</v>
      </c>
      <c r="AC2">
        <v>-0.73419659789214797</v>
      </c>
      <c r="AD2">
        <v>-0.38219863522876701</v>
      </c>
      <c r="AE2">
        <v>0.116699512414719</v>
      </c>
      <c r="AF2">
        <v>-0.206163355339544</v>
      </c>
      <c r="AG2">
        <v>-0.83627524630429895</v>
      </c>
    </row>
    <row r="3" spans="1:33" x14ac:dyDescent="0.35">
      <c r="A3" t="s">
        <v>34</v>
      </c>
      <c r="B3" t="s">
        <v>32</v>
      </c>
      <c r="C3">
        <v>-1</v>
      </c>
      <c r="D3">
        <v>7.0409518749265695E-2</v>
      </c>
      <c r="E3">
        <v>0.334563146011224</v>
      </c>
      <c r="F3">
        <v>8.4390722113830099E-2</v>
      </c>
      <c r="G3">
        <v>5.2044238372703902E-2</v>
      </c>
      <c r="H3">
        <v>-7.1699905905479602E-2</v>
      </c>
      <c r="I3">
        <v>8.2750407381655997E-2</v>
      </c>
      <c r="J3">
        <v>-3.7624014205788599E-2</v>
      </c>
      <c r="K3">
        <v>-0.20119765322797301</v>
      </c>
      <c r="L3">
        <v>-0.25248892574124898</v>
      </c>
      <c r="M3">
        <v>0</v>
      </c>
      <c r="N3">
        <v>-6.2254865808341201E-3</v>
      </c>
      <c r="O3">
        <v>-7.4273918697488001E-3</v>
      </c>
      <c r="P3">
        <v>2.51765765432529E-2</v>
      </c>
      <c r="Q3">
        <v>-0.16467395034127</v>
      </c>
      <c r="R3">
        <v>-5.7101380587429003E-3</v>
      </c>
      <c r="S3">
        <v>-2.6574551007999901E-2</v>
      </c>
      <c r="T3">
        <v>-9.6631639124960103E-2</v>
      </c>
      <c r="U3">
        <v>-0.112668281418978</v>
      </c>
      <c r="V3">
        <v>-4.64375413991062E-5</v>
      </c>
      <c r="W3">
        <v>5.7480661108821697E-2</v>
      </c>
      <c r="X3">
        <v>7.3497892891865396E-2</v>
      </c>
      <c r="Y3">
        <v>0.28189703895139501</v>
      </c>
      <c r="Z3">
        <v>0.12307562580909499</v>
      </c>
      <c r="AA3">
        <v>0.109920446431576</v>
      </c>
      <c r="AB3" s="2">
        <f t="shared" ref="AB3:AB18" si="0">AA3-I3</f>
        <v>2.7170039049920006E-2</v>
      </c>
      <c r="AC3">
        <v>-0.71934747789901798</v>
      </c>
      <c r="AD3">
        <v>-0.60859101476916899</v>
      </c>
      <c r="AE3">
        <v>-0.20361835000867901</v>
      </c>
      <c r="AF3">
        <v>-0.15496258918560801</v>
      </c>
      <c r="AG3">
        <v>-0.206163355339544</v>
      </c>
    </row>
    <row r="4" spans="1:33" x14ac:dyDescent="0.35">
      <c r="A4" t="s">
        <v>35</v>
      </c>
      <c r="B4" t="s">
        <v>32</v>
      </c>
      <c r="C4">
        <v>-1</v>
      </c>
      <c r="D4">
        <v>-9.5656904722252106E-2</v>
      </c>
      <c r="E4">
        <v>9.6940855523302893E-2</v>
      </c>
      <c r="F4">
        <v>0.49002857232950098</v>
      </c>
      <c r="G4">
        <v>0.208391135077172</v>
      </c>
      <c r="H4">
        <v>-6.0391933673744902E-2</v>
      </c>
      <c r="I4">
        <v>0.127323007835629</v>
      </c>
      <c r="J4">
        <v>-3.1435768777114702E-2</v>
      </c>
      <c r="K4">
        <v>-1.5431334318346699E-2</v>
      </c>
      <c r="L4">
        <v>-2.4236114768831401E-2</v>
      </c>
      <c r="M4">
        <v>0</v>
      </c>
      <c r="N4">
        <v>-0.1116771169521</v>
      </c>
      <c r="O4">
        <v>-1.4130478598766601E-3</v>
      </c>
      <c r="P4">
        <v>1.48527177757743E-2</v>
      </c>
      <c r="Q4">
        <v>-0.147876796119602</v>
      </c>
      <c r="R4">
        <v>-6.5334557705919397E-3</v>
      </c>
      <c r="S4">
        <v>-3.7491897544000202E-2</v>
      </c>
      <c r="T4">
        <v>-6.3307767234083601E-2</v>
      </c>
      <c r="U4">
        <v>-0.104470891080262</v>
      </c>
      <c r="V4">
        <v>-5.8359649790091399E-4</v>
      </c>
      <c r="W4">
        <v>-0.139181652755761</v>
      </c>
      <c r="X4">
        <v>0.13055531739648699</v>
      </c>
      <c r="Y4">
        <v>-0.141987561627687</v>
      </c>
      <c r="Z4">
        <v>0.14327151242873801</v>
      </c>
      <c r="AA4">
        <v>0.73267847772514905</v>
      </c>
      <c r="AB4" s="2">
        <f t="shared" si="0"/>
        <v>0.60535546988952005</v>
      </c>
      <c r="AC4">
        <v>-0.50768403721561195</v>
      </c>
      <c r="AD4">
        <v>0.228917102365608</v>
      </c>
      <c r="AE4">
        <v>0.23020105316665901</v>
      </c>
      <c r="AF4">
        <v>-7.33367157086416E-2</v>
      </c>
      <c r="AG4">
        <v>-0.15496258918560801</v>
      </c>
    </row>
    <row r="5" spans="1:33" x14ac:dyDescent="0.35">
      <c r="A5" t="s">
        <v>36</v>
      </c>
      <c r="B5" t="s">
        <v>32</v>
      </c>
      <c r="C5">
        <v>-1</v>
      </c>
      <c r="D5">
        <v>0.12347864355657601</v>
      </c>
      <c r="E5">
        <v>5.1398582782936103E-2</v>
      </c>
      <c r="F5">
        <v>0.350634639232693</v>
      </c>
      <c r="G5">
        <v>0.18132833289649899</v>
      </c>
      <c r="H5">
        <v>-4.6919376760871503E-2</v>
      </c>
      <c r="I5">
        <v>9.4528726965219897E-2</v>
      </c>
      <c r="J5">
        <v>-2.2967963618569998E-2</v>
      </c>
      <c r="K5">
        <v>0.17944505351008599</v>
      </c>
      <c r="L5">
        <v>2.0341748838583099E-2</v>
      </c>
      <c r="M5">
        <v>0</v>
      </c>
      <c r="N5">
        <v>-0.104667995470671</v>
      </c>
      <c r="O5">
        <v>-6.71988407316382E-4</v>
      </c>
      <c r="P5">
        <v>1.2605510376570201E-2</v>
      </c>
      <c r="Q5">
        <v>-0.34619775619210402</v>
      </c>
      <c r="R5">
        <v>-1.6772231715069301E-2</v>
      </c>
      <c r="S5">
        <v>-3.5908570943400497E-2</v>
      </c>
      <c r="T5">
        <v>-5.0238210637218797E-2</v>
      </c>
      <c r="U5">
        <v>-9.6103418388998496E-2</v>
      </c>
      <c r="V5">
        <v>-2.1619606193804901E-3</v>
      </c>
      <c r="W5">
        <v>-0.10798661114378599</v>
      </c>
      <c r="X5">
        <v>0.112651604454477</v>
      </c>
      <c r="Y5">
        <v>0.19183196160476301</v>
      </c>
      <c r="Z5">
        <v>-1.6954735265250501E-2</v>
      </c>
      <c r="AA5">
        <v>0.55586415360289798</v>
      </c>
      <c r="AB5" s="2">
        <f t="shared" si="0"/>
        <v>0.46133542663767807</v>
      </c>
      <c r="AC5">
        <v>-0.435603111701512</v>
      </c>
      <c r="AD5">
        <v>0.122777318364768</v>
      </c>
      <c r="AE5">
        <v>0.29765454470427999</v>
      </c>
      <c r="AF5">
        <v>0.11023419006924499</v>
      </c>
      <c r="AG5">
        <v>-7.33367157086416E-2</v>
      </c>
    </row>
    <row r="6" spans="1:33" x14ac:dyDescent="0.35">
      <c r="A6" t="s">
        <v>37</v>
      </c>
      <c r="B6" t="s">
        <v>32</v>
      </c>
      <c r="C6">
        <v>-1</v>
      </c>
      <c r="D6">
        <v>0.40650570357638799</v>
      </c>
      <c r="E6">
        <v>0.136691698568599</v>
      </c>
      <c r="F6">
        <v>0.26769889286291498</v>
      </c>
      <c r="G6">
        <v>2.1497719565335398E-2</v>
      </c>
      <c r="H6">
        <v>-4.3703023830997202E-2</v>
      </c>
      <c r="I6">
        <v>-9.5365599689748198E-2</v>
      </c>
      <c r="J6">
        <v>-1.250579938059E-2</v>
      </c>
      <c r="K6">
        <v>0.262851861848517</v>
      </c>
      <c r="L6">
        <v>4.9653197595397103E-2</v>
      </c>
      <c r="M6">
        <v>0</v>
      </c>
      <c r="N6">
        <v>-0.100405578542052</v>
      </c>
      <c r="O6">
        <v>-3.3408506757194801E-4</v>
      </c>
      <c r="P6">
        <v>1.04559636480671E-2</v>
      </c>
      <c r="Q6">
        <v>-0.30976776467698602</v>
      </c>
      <c r="R6">
        <v>-6.6690089586276202E-2</v>
      </c>
      <c r="S6">
        <v>-3.4038325524147602E-2</v>
      </c>
      <c r="T6">
        <v>-4.3936535393618102E-2</v>
      </c>
      <c r="U6">
        <v>-5.5729672642463098E-2</v>
      </c>
      <c r="V6">
        <v>-4.4268524616808E-5</v>
      </c>
      <c r="W6">
        <v>0.20674711777249699</v>
      </c>
      <c r="X6">
        <v>4.4619556639790899E-2</v>
      </c>
      <c r="Y6">
        <v>0.63577579400065898</v>
      </c>
      <c r="Z6">
        <v>-9.2578391855672001E-2</v>
      </c>
      <c r="AA6">
        <v>0.13795910196057001</v>
      </c>
      <c r="AB6" s="2">
        <f t="shared" si="0"/>
        <v>0.23332470165031821</v>
      </c>
      <c r="AC6">
        <v>-3.5405604657315098E-2</v>
      </c>
      <c r="AD6">
        <v>0.102604629247405</v>
      </c>
      <c r="AE6">
        <v>0.64580203139239201</v>
      </c>
      <c r="AF6">
        <v>0.24250981981366301</v>
      </c>
      <c r="AG6">
        <v>0.11023419006924499</v>
      </c>
    </row>
    <row r="7" spans="1:33" x14ac:dyDescent="0.35">
      <c r="A7" t="s">
        <v>38</v>
      </c>
      <c r="B7" t="s">
        <v>32</v>
      </c>
      <c r="C7">
        <v>-1</v>
      </c>
      <c r="D7">
        <v>0.133873781721287</v>
      </c>
      <c r="E7">
        <v>4.0840032414223203E-2</v>
      </c>
      <c r="F7">
        <v>0.26578106401662999</v>
      </c>
      <c r="G7">
        <v>2.9094858618363102E-2</v>
      </c>
      <c r="H7">
        <v>-3.4339266354473298E-2</v>
      </c>
      <c r="I7">
        <v>-0.133729009875071</v>
      </c>
      <c r="J7">
        <v>1.13690102002034E-2</v>
      </c>
      <c r="K7">
        <v>0.27225397073088298</v>
      </c>
      <c r="L7">
        <v>1.6960520897413001E-2</v>
      </c>
      <c r="M7">
        <v>0</v>
      </c>
      <c r="N7">
        <v>-0.10036426676492601</v>
      </c>
      <c r="O7">
        <v>-1.7257240165849299E-4</v>
      </c>
      <c r="P7">
        <v>5.7762572067887397E-3</v>
      </c>
      <c r="Q7">
        <v>-0.15458604468813</v>
      </c>
      <c r="R7">
        <v>-2.9046972423239802E-2</v>
      </c>
      <c r="S7">
        <v>-2.2294995129037001E-2</v>
      </c>
      <c r="T7">
        <v>-2.6522516209101999E-2</v>
      </c>
      <c r="U7">
        <v>-3.0672088360098701E-2</v>
      </c>
      <c r="V7">
        <v>-5.5553434027490802E-5</v>
      </c>
      <c r="W7">
        <v>0.14998115565769099</v>
      </c>
      <c r="X7">
        <v>0.15091666254341701</v>
      </c>
      <c r="Y7">
        <v>0.152548376323595</v>
      </c>
      <c r="Z7">
        <v>2.2165437811915399E-2</v>
      </c>
      <c r="AA7">
        <v>0.13854798222895001</v>
      </c>
      <c r="AB7" s="2">
        <f t="shared" si="0"/>
        <v>0.27227699210402101</v>
      </c>
      <c r="AC7">
        <v>0.23270567166299999</v>
      </c>
      <c r="AD7">
        <v>0.37091899841143999</v>
      </c>
      <c r="AE7">
        <v>0.54563281254694995</v>
      </c>
      <c r="AF7">
        <v>0.42982261045257097</v>
      </c>
      <c r="AG7">
        <v>0.24250981981366301</v>
      </c>
    </row>
    <row r="8" spans="1:33" x14ac:dyDescent="0.35">
      <c r="A8" t="s">
        <v>39</v>
      </c>
      <c r="B8" t="s">
        <v>32</v>
      </c>
      <c r="C8">
        <v>-1</v>
      </c>
      <c r="D8">
        <v>-0.51945344220673595</v>
      </c>
      <c r="E8">
        <v>-3.6329068795956501E-2</v>
      </c>
      <c r="F8">
        <v>-6.8923507981179702E-2</v>
      </c>
      <c r="G8">
        <v>4.5824279035484701E-2</v>
      </c>
      <c r="H8">
        <v>-4.2648201337320401E-3</v>
      </c>
      <c r="I8">
        <v>2.4851299983382799E-2</v>
      </c>
      <c r="J8">
        <v>1.3575618265951101E-2</v>
      </c>
      <c r="K8">
        <v>0.18178302235421301</v>
      </c>
      <c r="L8">
        <v>-8.9342834717323107E-3</v>
      </c>
      <c r="M8">
        <v>0</v>
      </c>
      <c r="N8">
        <v>-9.6865948504741201E-2</v>
      </c>
      <c r="O8">
        <v>0</v>
      </c>
      <c r="P8">
        <v>4.4613387682665602E-4</v>
      </c>
      <c r="Q8">
        <v>-7.3745275639246904E-2</v>
      </c>
      <c r="R8">
        <v>-2.81145842287071E-2</v>
      </c>
      <c r="S8">
        <v>-1.4963859323346399E-2</v>
      </c>
      <c r="T8">
        <v>-1.06082419539028E-2</v>
      </c>
      <c r="U8">
        <v>-3.0099482833375799E-2</v>
      </c>
      <c r="V8">
        <v>-3.0217362087457E-4</v>
      </c>
      <c r="W8">
        <v>0.103999770504797</v>
      </c>
      <c r="X8">
        <v>2.61260701306016E-3</v>
      </c>
      <c r="Y8">
        <v>-1.16995132804385</v>
      </c>
      <c r="Z8">
        <v>0.614168817041161</v>
      </c>
      <c r="AA8">
        <v>1.11027166496448E-2</v>
      </c>
      <c r="AB8" s="2">
        <f t="shared" si="0"/>
        <v>-1.3748583333737999E-2</v>
      </c>
      <c r="AC8">
        <v>2.5525593403408701E-2</v>
      </c>
      <c r="AD8">
        <v>3.6625316518402701E-2</v>
      </c>
      <c r="AE8">
        <v>-0.51915719448428999</v>
      </c>
      <c r="AF8">
        <v>0.24248304853983299</v>
      </c>
      <c r="AG8">
        <v>0.42982261045257097</v>
      </c>
    </row>
    <row r="9" spans="1:33" x14ac:dyDescent="0.35">
      <c r="A9" t="s">
        <v>40</v>
      </c>
      <c r="B9" t="s">
        <v>32</v>
      </c>
      <c r="C9">
        <v>-1</v>
      </c>
      <c r="D9">
        <v>-0.49659070787292697</v>
      </c>
      <c r="E9">
        <v>9.0506589373416602E-2</v>
      </c>
      <c r="F9">
        <v>-0.21567094977110701</v>
      </c>
      <c r="G9">
        <v>-3.9331912203167403E-2</v>
      </c>
      <c r="H9">
        <v>7.0579943690931299E-3</v>
      </c>
      <c r="I9">
        <v>0.187169199391747</v>
      </c>
      <c r="J9">
        <v>1.9233387701995601E-3</v>
      </c>
      <c r="K9">
        <v>0.46724310870124203</v>
      </c>
      <c r="L9">
        <v>-1.45027864177198E-2</v>
      </c>
      <c r="M9">
        <v>0</v>
      </c>
      <c r="N9">
        <v>-9.4949894815243602E-2</v>
      </c>
      <c r="O9">
        <v>0</v>
      </c>
      <c r="P9">
        <v>1.8247773810152401E-3</v>
      </c>
      <c r="Q9">
        <v>-9.49991988352311E-2</v>
      </c>
      <c r="R9">
        <v>-2.6737310243037899E-2</v>
      </c>
      <c r="S9">
        <v>-1.3483429468480799E-2</v>
      </c>
      <c r="T9">
        <v>-1.00208283497742E-2</v>
      </c>
      <c r="U9">
        <v>-2.3738219379538301E-2</v>
      </c>
      <c r="V9">
        <v>-1.03804464936561E-3</v>
      </c>
      <c r="W9">
        <v>0.285016460293538</v>
      </c>
      <c r="X9">
        <v>-2.99527412765348E-2</v>
      </c>
      <c r="Y9">
        <v>-0.94596316734547603</v>
      </c>
      <c r="Z9">
        <v>0.53987904884596605</v>
      </c>
      <c r="AA9">
        <v>-5.8434892157952403E-2</v>
      </c>
      <c r="AB9" s="2">
        <f t="shared" si="0"/>
        <v>-0.24560409154969942</v>
      </c>
      <c r="AC9">
        <v>0.44530218131426502</v>
      </c>
      <c r="AD9">
        <v>8.7140033405255293E-2</v>
      </c>
      <c r="AE9">
        <v>-0.31894408509425498</v>
      </c>
      <c r="AF9">
        <v>8.8333391090199803E-2</v>
      </c>
      <c r="AG9">
        <v>0.24248304853983299</v>
      </c>
    </row>
    <row r="10" spans="1:33" x14ac:dyDescent="0.35">
      <c r="A10" t="s">
        <v>41</v>
      </c>
      <c r="B10" t="s">
        <v>42</v>
      </c>
      <c r="C10">
        <v>0</v>
      </c>
      <c r="D10">
        <v>1.83533240147938E-3</v>
      </c>
      <c r="E10">
        <v>-0.18895750920943799</v>
      </c>
      <c r="F10">
        <v>0.183825060946469</v>
      </c>
      <c r="G10">
        <v>3.1964415242308503E-2</v>
      </c>
      <c r="H10">
        <v>0.18570531800002099</v>
      </c>
      <c r="I10">
        <v>0.11283214357551299</v>
      </c>
      <c r="J10">
        <v>6.9886573575032003E-3</v>
      </c>
      <c r="K10">
        <v>0.26976939094510399</v>
      </c>
      <c r="L10">
        <v>-2.4409454094093301E-4</v>
      </c>
      <c r="M10">
        <v>0</v>
      </c>
      <c r="N10">
        <v>-9.9896093511049611E-4</v>
      </c>
      <c r="O10">
        <v>0</v>
      </c>
      <c r="P10">
        <v>-8.3673707460128807E-3</v>
      </c>
      <c r="Q10">
        <v>-7.46265037458759E-2</v>
      </c>
      <c r="R10">
        <v>-2.6048206028168701E-2</v>
      </c>
      <c r="S10">
        <v>-1.38103838239934E-2</v>
      </c>
      <c r="T10">
        <v>-8.5423386433022899E-3</v>
      </c>
      <c r="U10">
        <v>-2.9638323362874801E-2</v>
      </c>
      <c r="V10">
        <v>-5.2655433301352999E-4</v>
      </c>
      <c r="W10">
        <v>0.22450059422556301</v>
      </c>
      <c r="X10">
        <v>1.9343238159436999E-3</v>
      </c>
      <c r="Y10">
        <v>-5.0493882615879802E-2</v>
      </c>
      <c r="Z10">
        <v>-0.136628294192079</v>
      </c>
      <c r="AA10">
        <v>0.52031284076485695</v>
      </c>
      <c r="AB10" s="2">
        <f t="shared" si="0"/>
        <v>0.40748069718934399</v>
      </c>
      <c r="AC10">
        <v>0.333503920049117</v>
      </c>
      <c r="AD10">
        <v>0.55197941363465697</v>
      </c>
      <c r="AE10">
        <v>0.36485723682669902</v>
      </c>
      <c r="AF10">
        <v>1.80971924487764E-2</v>
      </c>
      <c r="AG10">
        <v>1.92879091055238E-2</v>
      </c>
    </row>
    <row r="11" spans="1:33" x14ac:dyDescent="0.35">
      <c r="A11" t="s">
        <v>43</v>
      </c>
      <c r="B11" t="s">
        <v>42</v>
      </c>
      <c r="C11">
        <v>0</v>
      </c>
      <c r="D11">
        <v>-0.40818665265298099</v>
      </c>
      <c r="E11">
        <v>-0.18797856990234901</v>
      </c>
      <c r="F11">
        <v>0.17518373666777601</v>
      </c>
      <c r="G11">
        <v>1.2855036336618801E-2</v>
      </c>
      <c r="H11">
        <v>6.5942042814213703E-2</v>
      </c>
      <c r="I11">
        <v>0.14035275365848901</v>
      </c>
      <c r="J11">
        <v>9.6981954247357793E-3</v>
      </c>
      <c r="K11">
        <v>0.21821118449858201</v>
      </c>
      <c r="L11">
        <v>2.68155371055342E-2</v>
      </c>
      <c r="M11">
        <v>0</v>
      </c>
      <c r="N11">
        <v>-9.7192310751689304E-4</v>
      </c>
      <c r="O11">
        <v>0</v>
      </c>
      <c r="P11">
        <v>-7.7753445618424198E-3</v>
      </c>
      <c r="Q11">
        <v>-3.6283497165518701E-2</v>
      </c>
      <c r="R11">
        <v>-3.9026383613157399E-3</v>
      </c>
      <c r="S11">
        <v>-1.28548485299851E-2</v>
      </c>
      <c r="T11">
        <v>-7.6754748377312098E-3</v>
      </c>
      <c r="U11">
        <v>-2.4548492152382501E-2</v>
      </c>
      <c r="V11">
        <v>-4.45468017451337E-4</v>
      </c>
      <c r="W11">
        <v>0.22947080428754399</v>
      </c>
      <c r="X11">
        <v>2.0152617978004699E-2</v>
      </c>
      <c r="Y11">
        <v>-0.51253608394316297</v>
      </c>
      <c r="Z11">
        <v>-8.3629138612166795E-2</v>
      </c>
      <c r="AA11">
        <v>0.403458472970955</v>
      </c>
      <c r="AB11" s="2">
        <f t="shared" si="0"/>
        <v>0.26310571931246596</v>
      </c>
      <c r="AC11">
        <v>0.39989251289800798</v>
      </c>
      <c r="AD11">
        <v>-0.39836025423809102</v>
      </c>
      <c r="AE11">
        <v>-0.99452547679342096</v>
      </c>
      <c r="AF11">
        <v>-0.36694237988631601</v>
      </c>
      <c r="AG11">
        <v>2.4972697935256399E-2</v>
      </c>
    </row>
    <row r="12" spans="1:33" x14ac:dyDescent="0.35">
      <c r="A12" t="s">
        <v>44</v>
      </c>
      <c r="B12" t="s">
        <v>42</v>
      </c>
      <c r="C12">
        <v>0</v>
      </c>
      <c r="D12">
        <v>0.89353248872401803</v>
      </c>
      <c r="E12">
        <v>-0.18679326743754099</v>
      </c>
      <c r="F12">
        <v>0.12718876709139601</v>
      </c>
      <c r="G12">
        <v>-5.17525296486206E-3</v>
      </c>
      <c r="H12">
        <v>6.3538307727449006E-2</v>
      </c>
      <c r="I12">
        <v>0.313882330011445</v>
      </c>
      <c r="J12">
        <v>6.5070205318474104E-3</v>
      </c>
      <c r="K12">
        <v>0.150319148575252</v>
      </c>
      <c r="L12">
        <v>4.0643938098240899E-2</v>
      </c>
      <c r="M12">
        <v>0</v>
      </c>
      <c r="N12">
        <v>-9.4783565666223799E-4</v>
      </c>
      <c r="O12">
        <v>0</v>
      </c>
      <c r="P12">
        <v>-7.1485207788222101E-3</v>
      </c>
      <c r="Q12">
        <v>-2.8042467224146102E-3</v>
      </c>
      <c r="R12">
        <v>-2.66767452900793E-3</v>
      </c>
      <c r="S12">
        <v>-1.4294821389197999E-2</v>
      </c>
      <c r="T12">
        <v>-7.0418371850735403E-3</v>
      </c>
      <c r="U12">
        <v>-2.2803875892856401E-2</v>
      </c>
      <c r="V12">
        <v>-4.11448413644342E-4</v>
      </c>
      <c r="W12">
        <v>0.27300490883686801</v>
      </c>
      <c r="X12">
        <v>2.93317054991943E-2</v>
      </c>
      <c r="Y12">
        <v>0.84183310640180797</v>
      </c>
      <c r="Z12">
        <v>-0.13509388511533099</v>
      </c>
      <c r="AA12">
        <v>0.50521172685293902</v>
      </c>
      <c r="AB12" s="2">
        <f t="shared" si="0"/>
        <v>0.19132939684149403</v>
      </c>
      <c r="AC12">
        <v>0.43470650007238398</v>
      </c>
      <c r="AD12">
        <v>1.5975795533720001</v>
      </c>
      <c r="AE12">
        <v>2.3043187746584799</v>
      </c>
      <c r="AF12">
        <v>0.33892661239937499</v>
      </c>
      <c r="AG12">
        <v>-0.25099063333153998</v>
      </c>
    </row>
    <row r="13" spans="1:33" x14ac:dyDescent="0.35">
      <c r="A13" t="s">
        <v>45</v>
      </c>
      <c r="B13" t="s">
        <v>42</v>
      </c>
      <c r="C13">
        <v>0</v>
      </c>
      <c r="D13">
        <v>2.5063031368209299E-2</v>
      </c>
      <c r="E13">
        <v>-0.19788469881148801</v>
      </c>
      <c r="F13">
        <v>0.128735948590391</v>
      </c>
      <c r="G13">
        <v>2.60357465574721E-3</v>
      </c>
      <c r="H13">
        <v>6.1199868765372603E-2</v>
      </c>
      <c r="I13">
        <v>0.24883676109205699</v>
      </c>
      <c r="J13">
        <v>4.4335969424576004E-3</v>
      </c>
      <c r="K13">
        <v>-5.1940570295064298E-2</v>
      </c>
      <c r="L13">
        <v>4.94236866899661E-2</v>
      </c>
      <c r="M13">
        <v>0</v>
      </c>
      <c r="N13">
        <v>0</v>
      </c>
      <c r="O13">
        <v>0</v>
      </c>
      <c r="P13">
        <v>-7.6631956825140403E-3</v>
      </c>
      <c r="Q13">
        <v>-9.3948558553592703E-5</v>
      </c>
      <c r="R13">
        <v>-2.2399328560741599E-3</v>
      </c>
      <c r="S13">
        <v>-9.8355115133880299E-3</v>
      </c>
      <c r="T13">
        <v>-6.46551279772871E-3</v>
      </c>
      <c r="U13">
        <v>-2.0976970786457501E-2</v>
      </c>
      <c r="V13">
        <v>-3.82465757702634E-4</v>
      </c>
      <c r="W13">
        <v>0.186608335863096</v>
      </c>
      <c r="X13">
        <v>3.1639762071453803E-2</v>
      </c>
      <c r="Y13">
        <v>-5.9218055110206197E-2</v>
      </c>
      <c r="Z13">
        <v>-0.11360361233307199</v>
      </c>
      <c r="AA13">
        <v>0.445191143245319</v>
      </c>
      <c r="AB13" s="2">
        <f t="shared" si="0"/>
        <v>0.19635438215326201</v>
      </c>
      <c r="AC13">
        <v>0.16814454714586699</v>
      </c>
      <c r="AD13">
        <v>0.47253996591724601</v>
      </c>
      <c r="AE13">
        <v>0.29971829847396703</v>
      </c>
      <c r="AF13">
        <v>0.49359220829143102</v>
      </c>
      <c r="AG13">
        <v>0.53024778765367098</v>
      </c>
    </row>
    <row r="14" spans="1:33" x14ac:dyDescent="0.35">
      <c r="A14" t="s">
        <v>46</v>
      </c>
      <c r="B14" t="s">
        <v>42</v>
      </c>
      <c r="C14">
        <v>0</v>
      </c>
      <c r="D14">
        <v>-3.9419277329213298E-2</v>
      </c>
      <c r="E14">
        <v>-0.18767070266208299</v>
      </c>
      <c r="F14">
        <v>0.126084682237845</v>
      </c>
      <c r="G14">
        <v>1.5495770924980201E-2</v>
      </c>
      <c r="H14">
        <v>6.6290283313533593E-2</v>
      </c>
      <c r="I14">
        <v>7.6554648901424605E-2</v>
      </c>
      <c r="J14">
        <v>3.7277292757793702E-3</v>
      </c>
      <c r="K14">
        <v>7.60708969489272E-2</v>
      </c>
      <c r="L14">
        <v>9.3675739065071095E-3</v>
      </c>
      <c r="M14">
        <v>0</v>
      </c>
      <c r="N14">
        <v>0</v>
      </c>
      <c r="O14">
        <v>0</v>
      </c>
      <c r="P14">
        <v>-6.6907591403234396E-3</v>
      </c>
      <c r="Q14">
        <v>6.0136996133741498E-4</v>
      </c>
      <c r="R14">
        <v>-2.8257296480183498E-3</v>
      </c>
      <c r="S14">
        <v>-6.7070295019788801E-3</v>
      </c>
      <c r="T14">
        <v>-5.76628720574865E-3</v>
      </c>
      <c r="U14">
        <v>-1.9015005404116901E-2</v>
      </c>
      <c r="V14">
        <v>-3.32772769679777E-4</v>
      </c>
      <c r="W14">
        <v>0.16994915028806101</v>
      </c>
      <c r="X14">
        <v>5.6846796386391197E-3</v>
      </c>
      <c r="Y14">
        <v>-7.3368861520993006E-2</v>
      </c>
      <c r="Z14">
        <v>-0.15372111847030301</v>
      </c>
      <c r="AA14">
        <v>0.28785084598618899</v>
      </c>
      <c r="AB14" s="2">
        <f t="shared" si="0"/>
        <v>0.21129619708476438</v>
      </c>
      <c r="AC14">
        <v>0.22026520761650101</v>
      </c>
      <c r="AD14">
        <v>0.36743856464861202</v>
      </c>
      <c r="AE14">
        <v>0.14034858465731501</v>
      </c>
      <c r="AF14">
        <v>0.43746504524908503</v>
      </c>
      <c r="AG14">
        <v>0.80431628466891802</v>
      </c>
    </row>
    <row r="15" spans="1:33" x14ac:dyDescent="0.35">
      <c r="A15" t="s">
        <v>47</v>
      </c>
      <c r="B15" t="s">
        <v>42</v>
      </c>
      <c r="C15">
        <v>0</v>
      </c>
      <c r="D15">
        <v>-0.134754265364598</v>
      </c>
      <c r="E15">
        <v>-0.198482369960888</v>
      </c>
      <c r="F15">
        <v>0.14519450482926699</v>
      </c>
      <c r="G15">
        <v>2.67850730649783E-2</v>
      </c>
      <c r="H15">
        <v>7.2346729876637594E-2</v>
      </c>
      <c r="I15">
        <v>-5.3219630374798398E-2</v>
      </c>
      <c r="J15">
        <v>5.4605074072783004E-3</v>
      </c>
      <c r="K15">
        <v>0.124508999772188</v>
      </c>
      <c r="L15">
        <v>9.4824810682655695E-3</v>
      </c>
      <c r="M15">
        <v>0</v>
      </c>
      <c r="N15">
        <v>0</v>
      </c>
      <c r="O15">
        <v>0</v>
      </c>
      <c r="P15">
        <v>-5.5662077626494897E-3</v>
      </c>
      <c r="Q15">
        <v>2.3570059463391998E-3</v>
      </c>
      <c r="R15">
        <v>-2.9728776926127998E-4</v>
      </c>
      <c r="S15">
        <v>-3.0653343091065401E-3</v>
      </c>
      <c r="T15">
        <v>-3.2052847720757198E-3</v>
      </c>
      <c r="U15">
        <v>-1.2025895631619E-2</v>
      </c>
      <c r="V15">
        <v>-3.2731495224799399E-4</v>
      </c>
      <c r="W15">
        <v>0.115959358088856</v>
      </c>
      <c r="X15">
        <v>-7.1113242576673098E-3</v>
      </c>
      <c r="Y15">
        <v>-0.19354294611066999</v>
      </c>
      <c r="Z15">
        <v>-0.13969368921481601</v>
      </c>
      <c r="AA15">
        <v>0.196520536859043</v>
      </c>
      <c r="AB15" s="2">
        <f t="shared" si="0"/>
        <v>0.2497401672338414</v>
      </c>
      <c r="AC15">
        <v>0.220605703294071</v>
      </c>
      <c r="AD15">
        <v>0.276664214735239</v>
      </c>
      <c r="AE15">
        <v>-5.6572420590246503E-2</v>
      </c>
      <c r="AF15">
        <v>0.67195330929987795</v>
      </c>
      <c r="AG15">
        <v>0.72261928477203496</v>
      </c>
    </row>
    <row r="16" spans="1:33" x14ac:dyDescent="0.35">
      <c r="A16" t="s">
        <v>48</v>
      </c>
      <c r="B16" t="s">
        <v>42</v>
      </c>
      <c r="C16">
        <v>0</v>
      </c>
      <c r="D16">
        <v>-6.4067477393471503E-2</v>
      </c>
      <c r="E16">
        <v>-0.202712782891321</v>
      </c>
      <c r="F16">
        <v>3.4041001179858997E-2</v>
      </c>
      <c r="G16">
        <v>1.8037615083389399E-2</v>
      </c>
      <c r="H16">
        <v>7.9777253147179095E-2</v>
      </c>
      <c r="I16">
        <v>-0.268558367932696</v>
      </c>
      <c r="J16">
        <v>5.53307401008943E-3</v>
      </c>
      <c r="K16">
        <v>0.118033903265312</v>
      </c>
      <c r="L16">
        <v>1.03984789268344E-2</v>
      </c>
      <c r="M16">
        <v>0</v>
      </c>
      <c r="N16">
        <v>0</v>
      </c>
      <c r="O16">
        <v>0</v>
      </c>
      <c r="P16">
        <v>-2.8424159735486601E-3</v>
      </c>
      <c r="Q16">
        <v>2.95299579862871E-3</v>
      </c>
      <c r="R16">
        <v>-2.9186795967888E-4</v>
      </c>
      <c r="S16">
        <v>-1.36738306873086E-3</v>
      </c>
      <c r="T16">
        <v>-1.8113138233232799E-3</v>
      </c>
      <c r="U16">
        <v>-1.14904795380124E-2</v>
      </c>
      <c r="V16">
        <v>-3.20879541638737E-4</v>
      </c>
      <c r="W16">
        <v>0.107258849208799</v>
      </c>
      <c r="X16">
        <v>-3.9361823659811801E-3</v>
      </c>
      <c r="Y16">
        <v>-0.10882876740007601</v>
      </c>
      <c r="Z16">
        <v>-0.15795149288471599</v>
      </c>
      <c r="AA16">
        <v>-0.13083582017301201</v>
      </c>
      <c r="AB16" s="2">
        <f t="shared" si="0"/>
        <v>0.13772254775968398</v>
      </c>
      <c r="AC16">
        <v>0.21647096356999401</v>
      </c>
      <c r="AD16">
        <v>4.5936342667305501E-2</v>
      </c>
      <c r="AE16">
        <v>-0.22084391761748601</v>
      </c>
      <c r="AF16">
        <v>4.0662636230887901E-2</v>
      </c>
      <c r="AG16">
        <v>0.89838007011468601</v>
      </c>
    </row>
    <row r="17" spans="1:33" x14ac:dyDescent="0.35">
      <c r="A17" t="s">
        <v>49</v>
      </c>
      <c r="B17" t="s">
        <v>42</v>
      </c>
      <c r="C17">
        <v>0</v>
      </c>
      <c r="D17">
        <v>-0.110727166879507</v>
      </c>
      <c r="E17">
        <v>-0.19118455586668001</v>
      </c>
      <c r="F17">
        <v>6.8448435027690602E-2</v>
      </c>
      <c r="G17">
        <v>2.3800282989591699E-2</v>
      </c>
      <c r="H17">
        <v>8.8515383497522901E-2</v>
      </c>
      <c r="I17">
        <v>-0.36522951671457599</v>
      </c>
      <c r="J17">
        <v>4.6304890358173801E-3</v>
      </c>
      <c r="K17">
        <v>0.12270904877794001</v>
      </c>
      <c r="L17">
        <v>1.0613895333767401E-2</v>
      </c>
      <c r="M17">
        <v>0</v>
      </c>
      <c r="N17">
        <v>0</v>
      </c>
      <c r="O17">
        <v>0</v>
      </c>
      <c r="P17">
        <v>-8.1672553494899301E-4</v>
      </c>
      <c r="Q17">
        <v>2.5172321776731001E-3</v>
      </c>
      <c r="R17">
        <v>-2.8515852447727301E-4</v>
      </c>
      <c r="S17">
        <v>-1.0320556003754499E-3</v>
      </c>
      <c r="T17">
        <v>-1.5233461318852799E-3</v>
      </c>
      <c r="U17">
        <v>-9.5126456296744898E-3</v>
      </c>
      <c r="V17">
        <v>-3.1358356411214999E-4</v>
      </c>
      <c r="W17">
        <v>8.9169655673979206E-2</v>
      </c>
      <c r="X17">
        <v>1.32367143557229E-3</v>
      </c>
      <c r="Y17">
        <v>-0.15456652081357</v>
      </c>
      <c r="Z17">
        <v>-0.14734520193261699</v>
      </c>
      <c r="AA17">
        <v>-0.179225988676501</v>
      </c>
      <c r="AB17" s="2">
        <f t="shared" si="0"/>
        <v>0.18600352803807499</v>
      </c>
      <c r="AC17">
        <v>0.21273202847000799</v>
      </c>
      <c r="AD17">
        <v>-6.0867326370612302E-3</v>
      </c>
      <c r="AE17">
        <v>-0.30799845538324799</v>
      </c>
      <c r="AF17">
        <v>-0.111266552233416</v>
      </c>
      <c r="AG17">
        <v>0.21705693697213899</v>
      </c>
    </row>
    <row r="18" spans="1:33" x14ac:dyDescent="0.35">
      <c r="A18" t="s">
        <v>51</v>
      </c>
      <c r="B18" t="s">
        <v>42</v>
      </c>
      <c r="C18">
        <v>0</v>
      </c>
      <c r="D18">
        <v>-6.6560278730832403</v>
      </c>
      <c r="E18">
        <v>-10.9420859482975</v>
      </c>
      <c r="F18">
        <v>7.3010290832214197</v>
      </c>
      <c r="G18">
        <v>3.9789590224459301</v>
      </c>
      <c r="H18">
        <v>0.22227763340958701</v>
      </c>
      <c r="I18">
        <v>-1.4415114221858101</v>
      </c>
      <c r="J18">
        <v>8.0037866513183106E-2</v>
      </c>
      <c r="K18">
        <v>-7.6863132183265304</v>
      </c>
      <c r="L18">
        <v>-0.68416150698803302</v>
      </c>
      <c r="M18">
        <v>0</v>
      </c>
      <c r="N18">
        <v>0</v>
      </c>
      <c r="O18">
        <v>0</v>
      </c>
      <c r="P18">
        <v>-9.4203067110633906E-2</v>
      </c>
      <c r="Q18">
        <v>-7.3165979299751202E-2</v>
      </c>
      <c r="R18">
        <v>-2.7956108147421301E-4</v>
      </c>
      <c r="S18">
        <v>-1.0162159414836599E-3</v>
      </c>
      <c r="T18">
        <v>-1.2591916526583601E-3</v>
      </c>
      <c r="U18">
        <v>2.5599194940218801E-2</v>
      </c>
      <c r="V18">
        <v>-2.4865069871721901E-4</v>
      </c>
      <c r="W18">
        <v>-6.2228498792812497</v>
      </c>
      <c r="X18">
        <v>-1.0286535197463</v>
      </c>
      <c r="Y18">
        <v>-8.2160053962669792</v>
      </c>
      <c r="Z18">
        <v>-9.3821084251137794</v>
      </c>
      <c r="AA18">
        <v>9.9637411274790502</v>
      </c>
      <c r="AB18" s="2">
        <f t="shared" si="0"/>
        <v>11.40525254966486</v>
      </c>
      <c r="AC18">
        <v>-16.555741227587099</v>
      </c>
      <c r="AD18">
        <v>-4.8417512714172997</v>
      </c>
      <c r="AE18">
        <v>-22.439865092798101</v>
      </c>
      <c r="AF18">
        <v>-5.7563199715972599</v>
      </c>
      <c r="AG18">
        <v>7.1675439171757102E-2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BAD9A-166F-4236-A207-B8278A1464D0}">
  <dimension ref="A1:AF18"/>
  <sheetViews>
    <sheetView workbookViewId="0">
      <selection activeCell="J21" sqref="J21"/>
    </sheetView>
  </sheetViews>
  <sheetFormatPr defaultRowHeight="14.5" x14ac:dyDescent="0.35"/>
  <sheetData>
    <row r="1" spans="1:32" ht="8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50</v>
      </c>
      <c r="AC1" s="1" t="s">
        <v>27</v>
      </c>
      <c r="AD1" s="1" t="s">
        <v>28</v>
      </c>
      <c r="AE1" s="1" t="s">
        <v>29</v>
      </c>
      <c r="AF1" s="1" t="s">
        <v>30</v>
      </c>
    </row>
    <row r="2" spans="1:32" x14ac:dyDescent="0.35">
      <c r="A2" t="s">
        <v>31</v>
      </c>
      <c r="B2" t="s">
        <v>32</v>
      </c>
      <c r="C2">
        <v>-1</v>
      </c>
      <c r="D2">
        <v>-0.14802611157274501</v>
      </c>
      <c r="E2">
        <v>0.32935983920596001</v>
      </c>
      <c r="F2">
        <v>0.40168306970290102</v>
      </c>
      <c r="G2">
        <v>0.18603734505634201</v>
      </c>
      <c r="H2">
        <v>-8.21940867312759E-2</v>
      </c>
      <c r="I2">
        <v>0.235358292343292</v>
      </c>
      <c r="J2">
        <v>-4.1113771969934799E-2</v>
      </c>
      <c r="K2">
        <v>-0.110305489658881</v>
      </c>
      <c r="L2">
        <v>-3.9292216707090502E-2</v>
      </c>
      <c r="M2">
        <v>-0.250812072873001</v>
      </c>
      <c r="N2">
        <v>-0.42408041297215698</v>
      </c>
      <c r="O2">
        <v>-0.28390642327914301</v>
      </c>
      <c r="P2">
        <v>2.09480010861266E-2</v>
      </c>
      <c r="Q2">
        <v>-0.36373095377918202</v>
      </c>
      <c r="R2">
        <v>5.0505984440364898E-4</v>
      </c>
      <c r="S2">
        <v>-4.1864783224422601E-2</v>
      </c>
      <c r="T2">
        <v>-9.6126641659024806E-2</v>
      </c>
      <c r="U2">
        <v>-8.0992848567109695E-3</v>
      </c>
      <c r="V2">
        <v>-8.9153330195928897E-4</v>
      </c>
      <c r="W2">
        <v>0.171036490137769</v>
      </c>
      <c r="X2">
        <v>0.10677013991119801</v>
      </c>
      <c r="Y2">
        <v>-0.23313551122967099</v>
      </c>
      <c r="Z2">
        <v>0.414469238862886</v>
      </c>
      <c r="AA2">
        <v>0.69855452970050502</v>
      </c>
      <c r="AB2" s="2">
        <f>AA2-I2</f>
        <v>0.46319623735721305</v>
      </c>
      <c r="AC2">
        <v>-1.32629278524743</v>
      </c>
      <c r="AD2">
        <v>-0.61796280604048204</v>
      </c>
      <c r="AE2">
        <v>-0.436629078407267</v>
      </c>
      <c r="AF2">
        <v>-0.83627524630429895</v>
      </c>
    </row>
    <row r="3" spans="1:32" x14ac:dyDescent="0.35">
      <c r="A3" t="s">
        <v>33</v>
      </c>
      <c r="B3" t="s">
        <v>32</v>
      </c>
      <c r="C3">
        <v>-1</v>
      </c>
      <c r="D3">
        <v>0.29138772747964098</v>
      </c>
      <c r="E3">
        <v>0.20751042016384599</v>
      </c>
      <c r="F3">
        <v>0.113357457258702</v>
      </c>
      <c r="G3">
        <v>9.7716048972668196E-2</v>
      </c>
      <c r="H3">
        <v>-5.91532101359378E-2</v>
      </c>
      <c r="I3">
        <v>0.23102780499548001</v>
      </c>
      <c r="J3">
        <v>-3.3405652214011802E-2</v>
      </c>
      <c r="K3">
        <v>-3.5337896134434499E-2</v>
      </c>
      <c r="L3">
        <v>-9.7526156234725395E-2</v>
      </c>
      <c r="M3">
        <v>-3.3451247097991299E-2</v>
      </c>
      <c r="N3">
        <v>-7.7388778211201796E-3</v>
      </c>
      <c r="O3">
        <v>-0.13051736587268001</v>
      </c>
      <c r="P3">
        <v>4.4718452819064197E-2</v>
      </c>
      <c r="Q3">
        <v>-0.37795184928776498</v>
      </c>
      <c r="R3">
        <v>5.950273560484E-4</v>
      </c>
      <c r="S3">
        <v>-2.6783451026086001E-2</v>
      </c>
      <c r="T3">
        <v>-9.6213710590928994E-2</v>
      </c>
      <c r="U3">
        <v>-0.13797271237506301</v>
      </c>
      <c r="V3">
        <v>-6.5844159084846603E-5</v>
      </c>
      <c r="W3">
        <v>-8.0930364752975201E-2</v>
      </c>
      <c r="X3">
        <v>0.246367721831767</v>
      </c>
      <c r="Y3">
        <v>-0.13834317705567301</v>
      </c>
      <c r="Z3">
        <v>0.63724132469915995</v>
      </c>
      <c r="AA3">
        <v>0.34932404438449699</v>
      </c>
      <c r="AB3" s="2">
        <f t="shared" ref="AB3:AB18" si="0">AA3-I3</f>
        <v>0.11829623938901698</v>
      </c>
      <c r="AC3">
        <v>-0.73419659789214797</v>
      </c>
      <c r="AD3">
        <v>-0.38219863522876701</v>
      </c>
      <c r="AE3">
        <v>0.116699512414719</v>
      </c>
      <c r="AF3">
        <v>-0.206163355339544</v>
      </c>
    </row>
    <row r="4" spans="1:32" x14ac:dyDescent="0.35">
      <c r="A4" t="s">
        <v>34</v>
      </c>
      <c r="B4" t="s">
        <v>32</v>
      </c>
      <c r="C4">
        <v>-1</v>
      </c>
      <c r="D4">
        <v>7.0409518749265695E-2</v>
      </c>
      <c r="E4">
        <v>0.334563146011224</v>
      </c>
      <c r="F4">
        <v>8.4390722113830099E-2</v>
      </c>
      <c r="G4">
        <v>5.2044238372703902E-2</v>
      </c>
      <c r="H4">
        <v>-7.1699905905479602E-2</v>
      </c>
      <c r="I4">
        <v>8.2750407381655997E-2</v>
      </c>
      <c r="J4">
        <v>-3.7624014205788599E-2</v>
      </c>
      <c r="K4">
        <v>-0.20119765322797301</v>
      </c>
      <c r="L4">
        <v>-0.25248892574124898</v>
      </c>
      <c r="M4">
        <v>0</v>
      </c>
      <c r="N4">
        <v>-6.2254865808341201E-3</v>
      </c>
      <c r="O4">
        <v>-7.4273918697488001E-3</v>
      </c>
      <c r="P4">
        <v>2.51765765432529E-2</v>
      </c>
      <c r="Q4">
        <v>-0.16467395034127</v>
      </c>
      <c r="R4">
        <v>-5.7101380587429003E-3</v>
      </c>
      <c r="S4">
        <v>-2.6574551007999901E-2</v>
      </c>
      <c r="T4">
        <v>-9.6631639124960103E-2</v>
      </c>
      <c r="U4">
        <v>-0.112668281418978</v>
      </c>
      <c r="V4">
        <v>-4.64375413991062E-5</v>
      </c>
      <c r="W4">
        <v>5.7480661108821697E-2</v>
      </c>
      <c r="X4">
        <v>7.3497892891865396E-2</v>
      </c>
      <c r="Y4">
        <v>0.28189703895139501</v>
      </c>
      <c r="Z4">
        <v>0.12307562580909499</v>
      </c>
      <c r="AA4">
        <v>0.109920446431576</v>
      </c>
      <c r="AB4" s="2">
        <f t="shared" si="0"/>
        <v>2.7170039049920006E-2</v>
      </c>
      <c r="AC4">
        <v>-0.71934747789901798</v>
      </c>
      <c r="AD4">
        <v>-0.60859101476916899</v>
      </c>
      <c r="AE4">
        <v>-0.20361835000867901</v>
      </c>
      <c r="AF4">
        <v>-0.15496258918560801</v>
      </c>
    </row>
    <row r="5" spans="1:32" x14ac:dyDescent="0.35">
      <c r="A5" t="s">
        <v>35</v>
      </c>
      <c r="B5" t="s">
        <v>32</v>
      </c>
      <c r="C5">
        <v>-1</v>
      </c>
      <c r="D5">
        <v>-9.5656904722252106E-2</v>
      </c>
      <c r="E5">
        <v>9.6940855523302893E-2</v>
      </c>
      <c r="F5">
        <v>0.49002857232950098</v>
      </c>
      <c r="G5">
        <v>0.208391135077172</v>
      </c>
      <c r="H5">
        <v>-6.0391933673744902E-2</v>
      </c>
      <c r="I5">
        <v>0.127323007835629</v>
      </c>
      <c r="J5">
        <v>-3.1435768777114702E-2</v>
      </c>
      <c r="K5">
        <v>-1.5431334318346699E-2</v>
      </c>
      <c r="L5">
        <v>-2.4236114768831401E-2</v>
      </c>
      <c r="M5">
        <v>0</v>
      </c>
      <c r="N5">
        <v>-0.1116771169521</v>
      </c>
      <c r="O5">
        <v>-1.4130478598766601E-3</v>
      </c>
      <c r="P5">
        <v>1.48527177757743E-2</v>
      </c>
      <c r="Q5">
        <v>-0.147876796119602</v>
      </c>
      <c r="R5">
        <v>-6.5334557705919397E-3</v>
      </c>
      <c r="S5">
        <v>-3.7491897544000202E-2</v>
      </c>
      <c r="T5">
        <v>-6.3307767234083601E-2</v>
      </c>
      <c r="U5">
        <v>-0.104470891080262</v>
      </c>
      <c r="V5">
        <v>-5.8359649790091399E-4</v>
      </c>
      <c r="W5">
        <v>-0.139181652755761</v>
      </c>
      <c r="X5">
        <v>0.13055531739648699</v>
      </c>
      <c r="Y5">
        <v>-0.141987561627687</v>
      </c>
      <c r="Z5">
        <v>0.14327151242873801</v>
      </c>
      <c r="AA5">
        <v>0.73267847772514905</v>
      </c>
      <c r="AB5" s="2">
        <f t="shared" si="0"/>
        <v>0.60535546988952005</v>
      </c>
      <c r="AC5">
        <v>-0.50768403721561195</v>
      </c>
      <c r="AD5">
        <v>0.228917102365608</v>
      </c>
      <c r="AE5">
        <v>0.23020105316665901</v>
      </c>
      <c r="AF5">
        <v>-7.33367157086416E-2</v>
      </c>
    </row>
    <row r="6" spans="1:32" x14ac:dyDescent="0.35">
      <c r="A6" t="s">
        <v>36</v>
      </c>
      <c r="B6" t="s">
        <v>32</v>
      </c>
      <c r="C6">
        <v>-1</v>
      </c>
      <c r="D6">
        <v>0.12347864355657601</v>
      </c>
      <c r="E6">
        <v>5.1398582782936103E-2</v>
      </c>
      <c r="F6">
        <v>0.350634639232693</v>
      </c>
      <c r="G6">
        <v>0.18132833289649899</v>
      </c>
      <c r="H6">
        <v>-4.6919376760871503E-2</v>
      </c>
      <c r="I6">
        <v>9.4528726965219897E-2</v>
      </c>
      <c r="J6">
        <v>-2.2967963618569998E-2</v>
      </c>
      <c r="K6">
        <v>0.17944505351008599</v>
      </c>
      <c r="L6">
        <v>2.0341748838583099E-2</v>
      </c>
      <c r="M6">
        <v>0</v>
      </c>
      <c r="N6">
        <v>-0.104667995470671</v>
      </c>
      <c r="O6">
        <v>-6.71988407316382E-4</v>
      </c>
      <c r="P6">
        <v>1.2605510376570201E-2</v>
      </c>
      <c r="Q6">
        <v>-0.34619775619210402</v>
      </c>
      <c r="R6">
        <v>-1.6772231715069301E-2</v>
      </c>
      <c r="S6">
        <v>-3.5908570943400497E-2</v>
      </c>
      <c r="T6">
        <v>-5.0238210637218797E-2</v>
      </c>
      <c r="U6">
        <v>-9.6103418388998496E-2</v>
      </c>
      <c r="V6">
        <v>-2.1619606193804901E-3</v>
      </c>
      <c r="W6">
        <v>-0.10798661114378599</v>
      </c>
      <c r="X6">
        <v>0.112651604454477</v>
      </c>
      <c r="Y6">
        <v>0.19183196160476301</v>
      </c>
      <c r="Z6">
        <v>-1.6954735265250501E-2</v>
      </c>
      <c r="AA6">
        <v>0.55586415360289798</v>
      </c>
      <c r="AB6" s="2">
        <f t="shared" si="0"/>
        <v>0.46133542663767807</v>
      </c>
      <c r="AC6">
        <v>-0.435603111701512</v>
      </c>
      <c r="AD6">
        <v>0.122777318364768</v>
      </c>
      <c r="AE6">
        <v>0.29765454470427999</v>
      </c>
      <c r="AF6">
        <v>0.11023419006924499</v>
      </c>
    </row>
    <row r="7" spans="1:32" x14ac:dyDescent="0.35">
      <c r="A7" t="s">
        <v>37</v>
      </c>
      <c r="B7" t="s">
        <v>32</v>
      </c>
      <c r="C7">
        <v>-1</v>
      </c>
      <c r="D7">
        <v>0.40650570357638799</v>
      </c>
      <c r="E7">
        <v>0.136691698568599</v>
      </c>
      <c r="F7">
        <v>0.26769889286291498</v>
      </c>
      <c r="G7">
        <v>2.1497719565335398E-2</v>
      </c>
      <c r="H7">
        <v>-4.3703023830997202E-2</v>
      </c>
      <c r="I7">
        <v>-9.5365599689748198E-2</v>
      </c>
      <c r="J7">
        <v>-1.250579938059E-2</v>
      </c>
      <c r="K7">
        <v>0.262851861848517</v>
      </c>
      <c r="L7">
        <v>4.9653197595397103E-2</v>
      </c>
      <c r="M7">
        <v>0</v>
      </c>
      <c r="N7">
        <v>-0.100405578542052</v>
      </c>
      <c r="O7">
        <v>-3.3408506757194801E-4</v>
      </c>
      <c r="P7">
        <v>1.04559636480671E-2</v>
      </c>
      <c r="Q7">
        <v>-0.30976776467698602</v>
      </c>
      <c r="R7">
        <v>-6.6690089586276202E-2</v>
      </c>
      <c r="S7">
        <v>-3.4038325524147602E-2</v>
      </c>
      <c r="T7">
        <v>-4.3936535393618102E-2</v>
      </c>
      <c r="U7">
        <v>-5.5729672642463098E-2</v>
      </c>
      <c r="V7">
        <v>-4.4268524616808E-5</v>
      </c>
      <c r="W7">
        <v>0.20674711777249699</v>
      </c>
      <c r="X7">
        <v>4.4619556639790899E-2</v>
      </c>
      <c r="Y7">
        <v>0.63577579400065898</v>
      </c>
      <c r="Z7">
        <v>-9.2578391855672001E-2</v>
      </c>
      <c r="AA7">
        <v>0.13795910196057001</v>
      </c>
      <c r="AB7" s="2">
        <f t="shared" si="0"/>
        <v>0.23332470165031821</v>
      </c>
      <c r="AC7">
        <v>-3.5405604657315098E-2</v>
      </c>
      <c r="AD7">
        <v>0.102604629247405</v>
      </c>
      <c r="AE7">
        <v>0.64580203139239201</v>
      </c>
      <c r="AF7">
        <v>0.24250981981366301</v>
      </c>
    </row>
    <row r="8" spans="1:32" x14ac:dyDescent="0.35">
      <c r="A8" t="s">
        <v>38</v>
      </c>
      <c r="B8" t="s">
        <v>32</v>
      </c>
      <c r="C8">
        <v>-1</v>
      </c>
      <c r="D8">
        <v>0.133873781721287</v>
      </c>
      <c r="E8">
        <v>4.0840032414223203E-2</v>
      </c>
      <c r="F8">
        <v>0.26578106401662999</v>
      </c>
      <c r="G8">
        <v>2.9094858618363102E-2</v>
      </c>
      <c r="H8">
        <v>-3.4339266354473298E-2</v>
      </c>
      <c r="I8">
        <v>-0.133729009875071</v>
      </c>
      <c r="J8">
        <v>1.13690102002034E-2</v>
      </c>
      <c r="K8">
        <v>0.27225397073088298</v>
      </c>
      <c r="L8">
        <v>1.6960520897413001E-2</v>
      </c>
      <c r="M8">
        <v>0</v>
      </c>
      <c r="N8">
        <v>-0.10036426676492601</v>
      </c>
      <c r="O8">
        <v>-1.7257240165849299E-4</v>
      </c>
      <c r="P8">
        <v>5.7762572067887397E-3</v>
      </c>
      <c r="Q8">
        <v>-0.15458604468813</v>
      </c>
      <c r="R8">
        <v>-2.9046972423239802E-2</v>
      </c>
      <c r="S8">
        <v>-2.2294995129037001E-2</v>
      </c>
      <c r="T8">
        <v>-2.6522516209101999E-2</v>
      </c>
      <c r="U8">
        <v>-3.0672088360098701E-2</v>
      </c>
      <c r="V8">
        <v>-5.5553434027490802E-5</v>
      </c>
      <c r="W8">
        <v>0.14998115565769099</v>
      </c>
      <c r="X8">
        <v>0.15091666254341701</v>
      </c>
      <c r="Y8">
        <v>0.152548376323595</v>
      </c>
      <c r="Z8">
        <v>2.2165437811915399E-2</v>
      </c>
      <c r="AA8">
        <v>0.13854798222895001</v>
      </c>
      <c r="AB8" s="2">
        <f t="shared" si="0"/>
        <v>0.27227699210402101</v>
      </c>
      <c r="AC8">
        <v>0.23270567166299999</v>
      </c>
      <c r="AD8">
        <v>0.37091899841143999</v>
      </c>
      <c r="AE8">
        <v>0.54563281254694995</v>
      </c>
      <c r="AF8">
        <v>0.42982261045257097</v>
      </c>
    </row>
    <row r="9" spans="1:32" x14ac:dyDescent="0.35">
      <c r="A9" t="s">
        <v>39</v>
      </c>
      <c r="B9" t="s">
        <v>32</v>
      </c>
      <c r="C9">
        <v>-1</v>
      </c>
      <c r="D9">
        <v>-0.51945344220673595</v>
      </c>
      <c r="E9">
        <v>-3.6329068795956501E-2</v>
      </c>
      <c r="F9">
        <v>-6.8923507981179702E-2</v>
      </c>
      <c r="G9">
        <v>4.5824279035484701E-2</v>
      </c>
      <c r="H9">
        <v>-4.2648201337320401E-3</v>
      </c>
      <c r="I9">
        <v>2.4851299983382799E-2</v>
      </c>
      <c r="J9">
        <v>1.3575618265951101E-2</v>
      </c>
      <c r="K9">
        <v>0.18178302235421301</v>
      </c>
      <c r="L9">
        <v>-8.9342834717323107E-3</v>
      </c>
      <c r="M9">
        <v>0</v>
      </c>
      <c r="N9">
        <v>-9.6865948504741201E-2</v>
      </c>
      <c r="O9">
        <v>0</v>
      </c>
      <c r="P9">
        <v>4.4613387682665602E-4</v>
      </c>
      <c r="Q9">
        <v>-7.3745275639246904E-2</v>
      </c>
      <c r="R9">
        <v>-2.81145842287071E-2</v>
      </c>
      <c r="S9">
        <v>-1.4963859323346399E-2</v>
      </c>
      <c r="T9">
        <v>-1.06082419539028E-2</v>
      </c>
      <c r="U9">
        <v>-3.0099482833375799E-2</v>
      </c>
      <c r="V9">
        <v>-3.0217362087457E-4</v>
      </c>
      <c r="W9">
        <v>0.103999770504797</v>
      </c>
      <c r="X9">
        <v>2.61260701306016E-3</v>
      </c>
      <c r="Y9">
        <v>-1.16995132804385</v>
      </c>
      <c r="Z9">
        <v>0.614168817041161</v>
      </c>
      <c r="AA9">
        <v>1.11027166496448E-2</v>
      </c>
      <c r="AB9" s="2">
        <f t="shared" si="0"/>
        <v>-1.3748583333737999E-2</v>
      </c>
      <c r="AC9">
        <v>2.5525593403408701E-2</v>
      </c>
      <c r="AD9">
        <v>3.6625316518402701E-2</v>
      </c>
      <c r="AE9">
        <v>-0.51915719448428999</v>
      </c>
      <c r="AF9">
        <v>0.24248304853983299</v>
      </c>
    </row>
    <row r="10" spans="1:32" x14ac:dyDescent="0.35">
      <c r="A10" t="s">
        <v>40</v>
      </c>
      <c r="B10" t="s">
        <v>32</v>
      </c>
      <c r="C10">
        <v>-1</v>
      </c>
      <c r="D10">
        <v>-0.49659070787292697</v>
      </c>
      <c r="E10">
        <v>9.0506589373416602E-2</v>
      </c>
      <c r="F10">
        <v>-0.49360351627841198</v>
      </c>
      <c r="G10">
        <v>-3.9331912203167403E-2</v>
      </c>
      <c r="H10">
        <v>7.0579943690931299E-3</v>
      </c>
      <c r="I10">
        <v>0.187169199391747</v>
      </c>
      <c r="J10">
        <v>1.9233387701995601E-3</v>
      </c>
      <c r="K10">
        <v>0.46724310870124203</v>
      </c>
      <c r="L10">
        <v>-1.45027864177198E-2</v>
      </c>
      <c r="M10">
        <v>0</v>
      </c>
      <c r="N10">
        <v>-9.4949894815243602E-2</v>
      </c>
      <c r="O10">
        <v>0</v>
      </c>
      <c r="P10">
        <v>1.8247773810152401E-3</v>
      </c>
      <c r="Q10">
        <v>-9.49991988352311E-2</v>
      </c>
      <c r="R10">
        <v>-2.6737310243037899E-2</v>
      </c>
      <c r="S10">
        <v>-1.3483429468480799E-2</v>
      </c>
      <c r="T10">
        <v>-1.00208283497742E-2</v>
      </c>
      <c r="U10">
        <v>-2.3738219379538301E-2</v>
      </c>
      <c r="V10">
        <v>-1.03804464936561E-3</v>
      </c>
      <c r="W10">
        <v>0.285016460293538</v>
      </c>
      <c r="X10">
        <v>-2.99527412765348E-2</v>
      </c>
      <c r="Y10">
        <v>-0.94596316734547603</v>
      </c>
      <c r="Z10">
        <v>0.53987904884596605</v>
      </c>
      <c r="AA10">
        <v>-0.33591118113824903</v>
      </c>
      <c r="AB10" s="2">
        <f t="shared" si="0"/>
        <v>-0.52308038052999606</v>
      </c>
      <c r="AC10">
        <v>0.44530218131426502</v>
      </c>
      <c r="AD10">
        <v>-0.189041894533449</v>
      </c>
      <c r="AE10">
        <v>-0.59512601303295898</v>
      </c>
      <c r="AF10">
        <v>1.92879091055238E-2</v>
      </c>
    </row>
    <row r="11" spans="1:32" x14ac:dyDescent="0.35">
      <c r="A11" t="s">
        <v>41</v>
      </c>
      <c r="B11" t="s">
        <v>42</v>
      </c>
      <c r="C11">
        <v>0</v>
      </c>
      <c r="D11">
        <v>1.83533240147938E-3</v>
      </c>
      <c r="E11">
        <v>-0.18895750920943799</v>
      </c>
      <c r="F11">
        <v>-0.225617648258191</v>
      </c>
      <c r="G11">
        <v>3.1964415242308503E-2</v>
      </c>
      <c r="H11">
        <v>0.18570531800002099</v>
      </c>
      <c r="I11">
        <v>0.11283214357551299</v>
      </c>
      <c r="J11">
        <v>6.9886573575032003E-3</v>
      </c>
      <c r="K11">
        <v>0.26976939094510399</v>
      </c>
      <c r="L11">
        <v>-2.4409454094093301E-4</v>
      </c>
      <c r="M11">
        <v>0</v>
      </c>
      <c r="N11">
        <v>-9.9896093511049611E-4</v>
      </c>
      <c r="O11">
        <v>0</v>
      </c>
      <c r="P11">
        <v>-8.3673707460128807E-3</v>
      </c>
      <c r="Q11">
        <v>-7.46265037458759E-2</v>
      </c>
      <c r="R11">
        <v>-2.6048206028168701E-2</v>
      </c>
      <c r="S11">
        <v>-1.38103838239934E-2</v>
      </c>
      <c r="T11">
        <v>-8.5423386433022899E-3</v>
      </c>
      <c r="U11">
        <v>-2.9638323362874801E-2</v>
      </c>
      <c r="V11">
        <v>-5.2655433301352999E-4</v>
      </c>
      <c r="W11">
        <v>0.22450059422556301</v>
      </c>
      <c r="X11">
        <v>1.9343238159436999E-3</v>
      </c>
      <c r="Y11">
        <v>-5.0493882615879802E-2</v>
      </c>
      <c r="Z11">
        <v>-0.136628294192079</v>
      </c>
      <c r="AA11">
        <v>0.112330310625844</v>
      </c>
      <c r="AB11" s="2">
        <f t="shared" si="0"/>
        <v>-5.0183294966898995E-4</v>
      </c>
      <c r="AC11">
        <v>0.333503920049117</v>
      </c>
      <c r="AD11">
        <v>0.145437851515373</v>
      </c>
      <c r="AE11">
        <v>-4.16843252925862E-2</v>
      </c>
      <c r="AF11">
        <v>-0.15258368006572101</v>
      </c>
    </row>
    <row r="12" spans="1:32" x14ac:dyDescent="0.35">
      <c r="A12" t="s">
        <v>43</v>
      </c>
      <c r="B12" t="s">
        <v>42</v>
      </c>
      <c r="C12">
        <v>0</v>
      </c>
      <c r="D12">
        <v>-0.40818665265298099</v>
      </c>
      <c r="E12">
        <v>-0.18797856990234901</v>
      </c>
      <c r="F12">
        <v>-0.18376482299076699</v>
      </c>
      <c r="G12">
        <v>1.2855036336618801E-2</v>
      </c>
      <c r="H12">
        <v>6.5942042814213703E-2</v>
      </c>
      <c r="I12">
        <v>0.14035275365848901</v>
      </c>
      <c r="J12">
        <v>9.6981954247357793E-3</v>
      </c>
      <c r="K12">
        <v>0.21821118449858201</v>
      </c>
      <c r="L12">
        <v>2.68155371055342E-2</v>
      </c>
      <c r="M12">
        <v>0</v>
      </c>
      <c r="N12">
        <v>-9.7192310751689304E-4</v>
      </c>
      <c r="O12">
        <v>0</v>
      </c>
      <c r="P12">
        <v>-7.7753445618424198E-3</v>
      </c>
      <c r="Q12">
        <v>-3.6283497165518701E-2</v>
      </c>
      <c r="R12">
        <v>-3.9026383613157399E-3</v>
      </c>
      <c r="S12">
        <v>-1.28548485299851E-2</v>
      </c>
      <c r="T12">
        <v>-7.6754748377312098E-3</v>
      </c>
      <c r="U12">
        <v>-2.4548492152382501E-2</v>
      </c>
      <c r="V12">
        <v>-4.45468017451337E-4</v>
      </c>
      <c r="W12">
        <v>0.22947080428754399</v>
      </c>
      <c r="X12">
        <v>2.0152617978004699E-2</v>
      </c>
      <c r="Y12">
        <v>-0.51253608394316297</v>
      </c>
      <c r="Z12">
        <v>-8.3629138612166795E-2</v>
      </c>
      <c r="AA12">
        <v>4.53797114197389E-2</v>
      </c>
      <c r="AB12" s="2">
        <f t="shared" si="0"/>
        <v>-9.4973042238750111E-2</v>
      </c>
      <c r="AC12">
        <v>0.39989251289800798</v>
      </c>
      <c r="AD12">
        <v>-0.75492012874145298</v>
      </c>
      <c r="AE12">
        <v>-1.35108535129678</v>
      </c>
      <c r="AF12">
        <v>-0.62676322102665405</v>
      </c>
    </row>
    <row r="13" spans="1:32" x14ac:dyDescent="0.35">
      <c r="A13" t="s">
        <v>44</v>
      </c>
      <c r="B13" t="s">
        <v>42</v>
      </c>
      <c r="C13">
        <v>0</v>
      </c>
      <c r="D13">
        <v>0.89353248872401803</v>
      </c>
      <c r="E13">
        <v>-0.18679326743754099</v>
      </c>
      <c r="F13">
        <v>-0.157889086807043</v>
      </c>
      <c r="G13">
        <v>-5.17525296486206E-3</v>
      </c>
      <c r="H13">
        <v>6.3538307727449006E-2</v>
      </c>
      <c r="I13">
        <v>0.313882330011445</v>
      </c>
      <c r="J13">
        <v>6.5070205318474104E-3</v>
      </c>
      <c r="K13">
        <v>0.150319148575252</v>
      </c>
      <c r="L13">
        <v>4.0643938098240899E-2</v>
      </c>
      <c r="M13">
        <v>0</v>
      </c>
      <c r="N13">
        <v>-9.4783565666223799E-4</v>
      </c>
      <c r="O13">
        <v>0</v>
      </c>
      <c r="P13">
        <v>-7.1485207788222101E-3</v>
      </c>
      <c r="Q13">
        <v>-2.8042467224146102E-3</v>
      </c>
      <c r="R13">
        <v>-2.66767452900793E-3</v>
      </c>
      <c r="S13">
        <v>-1.4294821389197999E-2</v>
      </c>
      <c r="T13">
        <v>-7.0418371850735403E-3</v>
      </c>
      <c r="U13">
        <v>-2.2803875892856401E-2</v>
      </c>
      <c r="V13">
        <v>-4.11448413644342E-4</v>
      </c>
      <c r="W13">
        <v>0.27300490883686801</v>
      </c>
      <c r="X13">
        <v>2.93317054991943E-2</v>
      </c>
      <c r="Y13">
        <v>0.84183310640180797</v>
      </c>
      <c r="Z13">
        <v>-0.13509388511533099</v>
      </c>
      <c r="AA13">
        <v>0.22128179875224799</v>
      </c>
      <c r="AB13" s="2">
        <f t="shared" si="0"/>
        <v>-9.2600531259197011E-2</v>
      </c>
      <c r="AC13">
        <v>0.43470650007238398</v>
      </c>
      <c r="AD13">
        <v>1.31496448042667</v>
      </c>
      <c r="AE13">
        <v>2.0217037017131498</v>
      </c>
      <c r="AF13">
        <v>8.4520030227058507E-3</v>
      </c>
    </row>
    <row r="14" spans="1:32" x14ac:dyDescent="0.35">
      <c r="A14" t="s">
        <v>45</v>
      </c>
      <c r="B14" t="s">
        <v>42</v>
      </c>
      <c r="C14">
        <v>0</v>
      </c>
      <c r="D14">
        <v>2.5063031368209299E-2</v>
      </c>
      <c r="E14">
        <v>-0.19788469881148801</v>
      </c>
      <c r="F14">
        <v>-0.108594546287687</v>
      </c>
      <c r="G14">
        <v>2.60357465574721E-3</v>
      </c>
      <c r="H14">
        <v>6.1199868765372603E-2</v>
      </c>
      <c r="I14">
        <v>0.24883676109205699</v>
      </c>
      <c r="J14">
        <v>4.4335969424576004E-3</v>
      </c>
      <c r="K14">
        <v>-5.1940570295064298E-2</v>
      </c>
      <c r="L14">
        <v>4.94236866899661E-2</v>
      </c>
      <c r="M14">
        <v>0</v>
      </c>
      <c r="N14">
        <v>0</v>
      </c>
      <c r="O14">
        <v>0</v>
      </c>
      <c r="P14">
        <v>-7.6631956825140403E-3</v>
      </c>
      <c r="Q14">
        <v>-9.3948558553592703E-5</v>
      </c>
      <c r="R14">
        <v>-2.2399328560741599E-3</v>
      </c>
      <c r="S14">
        <v>-9.8355115133880299E-3</v>
      </c>
      <c r="T14">
        <v>-6.46551279772871E-3</v>
      </c>
      <c r="U14">
        <v>-2.0976970786457501E-2</v>
      </c>
      <c r="V14">
        <v>-3.82465757702634E-4</v>
      </c>
      <c r="W14">
        <v>0.186608335863096</v>
      </c>
      <c r="X14">
        <v>3.1639762071453803E-2</v>
      </c>
      <c r="Y14">
        <v>-5.9218055110206197E-2</v>
      </c>
      <c r="Z14">
        <v>-0.11360361233307199</v>
      </c>
      <c r="AA14">
        <v>0.20865971156872001</v>
      </c>
      <c r="AB14" s="2">
        <f t="shared" si="0"/>
        <v>-4.0177049523336977E-2</v>
      </c>
      <c r="AC14">
        <v>0.16814454714586699</v>
      </c>
      <c r="AD14">
        <v>0.23643146162113099</v>
      </c>
      <c r="AE14">
        <v>6.3609794177852799E-2</v>
      </c>
      <c r="AF14">
        <v>0.173135954825409</v>
      </c>
    </row>
    <row r="15" spans="1:32" x14ac:dyDescent="0.35">
      <c r="A15" t="s">
        <v>46</v>
      </c>
      <c r="B15" t="s">
        <v>42</v>
      </c>
      <c r="C15">
        <v>0</v>
      </c>
      <c r="D15">
        <v>-3.9419277329213298E-2</v>
      </c>
      <c r="E15">
        <v>-0.18767070266208299</v>
      </c>
      <c r="F15">
        <v>-0.107081655066805</v>
      </c>
      <c r="G15">
        <v>1.5495770924980201E-2</v>
      </c>
      <c r="H15">
        <v>6.6290283313533593E-2</v>
      </c>
      <c r="I15">
        <v>7.6554648901424605E-2</v>
      </c>
      <c r="J15">
        <v>3.7277292757793702E-3</v>
      </c>
      <c r="K15">
        <v>7.60708969489272E-2</v>
      </c>
      <c r="L15">
        <v>9.3675739065071095E-3</v>
      </c>
      <c r="M15">
        <v>0</v>
      </c>
      <c r="N15">
        <v>0</v>
      </c>
      <c r="O15">
        <v>0</v>
      </c>
      <c r="P15">
        <v>-6.6907591403234396E-3</v>
      </c>
      <c r="Q15">
        <v>6.0136996133741498E-4</v>
      </c>
      <c r="R15">
        <v>-2.8257296480183498E-3</v>
      </c>
      <c r="S15">
        <v>-6.7070295019788801E-3</v>
      </c>
      <c r="T15">
        <v>-5.76628720574865E-3</v>
      </c>
      <c r="U15">
        <v>-1.9015005404116901E-2</v>
      </c>
      <c r="V15">
        <v>-3.32772769679777E-4</v>
      </c>
      <c r="W15">
        <v>0.16994915028806101</v>
      </c>
      <c r="X15">
        <v>5.6846796386391197E-3</v>
      </c>
      <c r="Y15">
        <v>-7.3368861520993006E-2</v>
      </c>
      <c r="Z15">
        <v>-0.15372111847030301</v>
      </c>
      <c r="AA15">
        <v>5.5087851799672398E-2</v>
      </c>
      <c r="AB15" s="2">
        <f t="shared" si="0"/>
        <v>-2.1466797101752207E-2</v>
      </c>
      <c r="AC15">
        <v>0.22026520761650101</v>
      </c>
      <c r="AD15">
        <v>0.13522345777167399</v>
      </c>
      <c r="AE15">
        <v>-9.1866522219622701E-2</v>
      </c>
      <c r="AF15">
        <v>0.16059040559365001</v>
      </c>
    </row>
    <row r="16" spans="1:32" x14ac:dyDescent="0.35">
      <c r="A16" t="s">
        <v>47</v>
      </c>
      <c r="B16" t="s">
        <v>42</v>
      </c>
      <c r="C16">
        <v>0</v>
      </c>
      <c r="D16">
        <v>-0.134754265364598</v>
      </c>
      <c r="E16">
        <v>-0.198482369960888</v>
      </c>
      <c r="F16">
        <v>-8.53676104400794E-2</v>
      </c>
      <c r="G16">
        <v>2.67850730649783E-2</v>
      </c>
      <c r="H16">
        <v>7.2346729876637594E-2</v>
      </c>
      <c r="I16">
        <v>-5.3219630374798398E-2</v>
      </c>
      <c r="J16">
        <v>5.4605074072783004E-3</v>
      </c>
      <c r="K16">
        <v>0.124508999772188</v>
      </c>
      <c r="L16">
        <v>9.4824810682655695E-3</v>
      </c>
      <c r="M16">
        <v>0</v>
      </c>
      <c r="N16">
        <v>0</v>
      </c>
      <c r="O16">
        <v>0</v>
      </c>
      <c r="P16">
        <v>-5.5662077626494897E-3</v>
      </c>
      <c r="Q16">
        <v>2.3570059463391998E-3</v>
      </c>
      <c r="R16">
        <v>-2.9728776926127998E-4</v>
      </c>
      <c r="S16">
        <v>-3.0653343091065401E-3</v>
      </c>
      <c r="T16">
        <v>-3.2052847720757198E-3</v>
      </c>
      <c r="U16">
        <v>-1.2025895631619E-2</v>
      </c>
      <c r="V16">
        <v>-3.2731495224799399E-4</v>
      </c>
      <c r="W16">
        <v>0.115959358088856</v>
      </c>
      <c r="X16">
        <v>-7.1113242576673098E-3</v>
      </c>
      <c r="Y16">
        <v>-0.19354294611066999</v>
      </c>
      <c r="Z16">
        <v>-0.13969368921481601</v>
      </c>
      <c r="AA16">
        <v>-3.3915336615843603E-2</v>
      </c>
      <c r="AB16" s="2">
        <f t="shared" si="0"/>
        <v>1.9304293758954795E-2</v>
      </c>
      <c r="AC16">
        <v>0.220605703294071</v>
      </c>
      <c r="AD16">
        <v>4.67700700012115E-2</v>
      </c>
      <c r="AE16">
        <v>-0.286466565324275</v>
      </c>
      <c r="AF16">
        <v>0.42674510208677702</v>
      </c>
    </row>
    <row r="17" spans="1:32" x14ac:dyDescent="0.35">
      <c r="A17" t="s">
        <v>48</v>
      </c>
      <c r="B17" t="s">
        <v>42</v>
      </c>
      <c r="C17">
        <v>0</v>
      </c>
      <c r="D17">
        <v>-6.4067477393471503E-2</v>
      </c>
      <c r="E17">
        <v>-0.202712782891321</v>
      </c>
      <c r="F17">
        <v>-0.194568075207978</v>
      </c>
      <c r="G17">
        <v>1.8037615083389399E-2</v>
      </c>
      <c r="H17">
        <v>7.9777253147179095E-2</v>
      </c>
      <c r="I17">
        <v>-0.268558367932696</v>
      </c>
      <c r="J17">
        <v>5.53307401008943E-3</v>
      </c>
      <c r="K17">
        <v>0.118033903265312</v>
      </c>
      <c r="L17">
        <v>1.03984789268344E-2</v>
      </c>
      <c r="M17">
        <v>0</v>
      </c>
      <c r="N17">
        <v>0</v>
      </c>
      <c r="O17">
        <v>0</v>
      </c>
      <c r="P17">
        <v>-2.8424159735486601E-3</v>
      </c>
      <c r="Q17">
        <v>2.95299579862871E-3</v>
      </c>
      <c r="R17">
        <v>-2.9186795967888E-4</v>
      </c>
      <c r="S17">
        <v>-1.36738306873086E-3</v>
      </c>
      <c r="T17">
        <v>-1.8113138233232799E-3</v>
      </c>
      <c r="U17">
        <v>-1.14904795380124E-2</v>
      </c>
      <c r="V17">
        <v>-3.20879541638737E-4</v>
      </c>
      <c r="W17">
        <v>0.107258849208799</v>
      </c>
      <c r="X17">
        <v>-3.9361823659811801E-3</v>
      </c>
      <c r="Y17">
        <v>-0.10882876740007601</v>
      </c>
      <c r="Z17">
        <v>-0.15795149288471599</v>
      </c>
      <c r="AA17">
        <v>-0.35984559837077401</v>
      </c>
      <c r="AB17" s="2">
        <f t="shared" si="0"/>
        <v>-9.1287230438078015E-2</v>
      </c>
      <c r="AC17">
        <v>0.21647096356999401</v>
      </c>
      <c r="AD17">
        <v>-0.18254656345056899</v>
      </c>
      <c r="AE17">
        <v>-0.44932682373536098</v>
      </c>
      <c r="AF17">
        <v>-0.19101252927535101</v>
      </c>
    </row>
    <row r="18" spans="1:32" x14ac:dyDescent="0.35">
      <c r="A18" t="s">
        <v>49</v>
      </c>
      <c r="B18" t="s">
        <v>42</v>
      </c>
      <c r="C18">
        <v>0</v>
      </c>
      <c r="D18">
        <v>-0.110727166879507</v>
      </c>
      <c r="E18">
        <v>-0.19118455586668001</v>
      </c>
      <c r="F18">
        <v>-2.9836760326829598E-2</v>
      </c>
      <c r="G18">
        <v>2.3800282989591699E-2</v>
      </c>
      <c r="H18">
        <v>8.8515383497522901E-2</v>
      </c>
      <c r="I18">
        <v>-0.36522951671457599</v>
      </c>
      <c r="J18">
        <v>4.6304890358173801E-3</v>
      </c>
      <c r="K18">
        <v>0.12270904877794001</v>
      </c>
      <c r="L18">
        <v>1.0613895333767401E-2</v>
      </c>
      <c r="M18">
        <v>0</v>
      </c>
      <c r="N18">
        <v>0</v>
      </c>
      <c r="O18">
        <v>0</v>
      </c>
      <c r="P18">
        <v>-8.1672553494899301E-4</v>
      </c>
      <c r="Q18">
        <v>2.5172321776731001E-3</v>
      </c>
      <c r="R18">
        <v>-2.8515852447727301E-4</v>
      </c>
      <c r="S18">
        <v>-1.0320556003754499E-3</v>
      </c>
      <c r="T18">
        <v>-1.5233461318852799E-3</v>
      </c>
      <c r="U18">
        <v>-9.5126456296744898E-3</v>
      </c>
      <c r="V18">
        <v>-3.1358356411214999E-4</v>
      </c>
      <c r="W18">
        <v>8.9169655673979206E-2</v>
      </c>
      <c r="X18">
        <v>1.32367143557229E-3</v>
      </c>
      <c r="Y18">
        <v>-0.15456652081357</v>
      </c>
      <c r="Z18">
        <v>-0.14734520193261699</v>
      </c>
      <c r="AA18">
        <v>-0.27777126123557599</v>
      </c>
      <c r="AB18" s="2">
        <f t="shared" si="0"/>
        <v>8.7458255478999991E-2</v>
      </c>
      <c r="AC18">
        <v>0.21273202847000799</v>
      </c>
      <c r="AD18">
        <v>-0.104408206335068</v>
      </c>
      <c r="AE18">
        <v>-0.40631992908125503</v>
      </c>
      <c r="AF18">
        <v>-0.308494960090128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3BABF-D83A-4481-977E-AFB4E9D38676}">
  <dimension ref="A1:AF18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defaultRowHeight="14.5" x14ac:dyDescent="0.35"/>
  <sheetData>
    <row r="1" spans="1:32" s="1" customFormat="1" ht="8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50</v>
      </c>
      <c r="AC1" s="1" t="s">
        <v>27</v>
      </c>
      <c r="AD1" s="1" t="s">
        <v>28</v>
      </c>
      <c r="AE1" s="1" t="s">
        <v>29</v>
      </c>
      <c r="AF1" s="1" t="s">
        <v>30</v>
      </c>
    </row>
    <row r="2" spans="1:32" x14ac:dyDescent="0.35">
      <c r="A2" t="s">
        <v>31</v>
      </c>
      <c r="B2" t="s">
        <v>32</v>
      </c>
      <c r="C2">
        <v>-1</v>
      </c>
      <c r="D2">
        <f>'with tariffs'!D2-'without tariffs'!D2</f>
        <v>-0.43941383905238596</v>
      </c>
      <c r="E2">
        <f>'with tariffs'!E2-'without tariffs'!E2</f>
        <v>0.12184941904211402</v>
      </c>
      <c r="F2">
        <f>'with tariffs'!F2-'without tariffs'!F2</f>
        <v>0.28832561244419902</v>
      </c>
      <c r="G2">
        <f>'with tariffs'!G2-'without tariffs'!G2</f>
        <v>8.8321296083673811E-2</v>
      </c>
      <c r="H2">
        <f>'with tariffs'!H2-'without tariffs'!H2</f>
        <v>-2.30408765953381E-2</v>
      </c>
      <c r="I2">
        <f>'with tariffs'!I2-'without tariffs'!I2</f>
        <v>4.3304873478119954E-3</v>
      </c>
      <c r="J2">
        <f>'with tariffs'!J2-'without tariffs'!J2</f>
        <v>-7.7081197559229972E-3</v>
      </c>
      <c r="K2">
        <f>'with tariffs'!K2-'without tariffs'!K2</f>
        <v>-7.4967593524446499E-2</v>
      </c>
      <c r="L2">
        <f>'with tariffs'!L2-'without tariffs'!L2</f>
        <v>5.8233939527634893E-2</v>
      </c>
      <c r="M2">
        <f>'with tariffs'!M2-'without tariffs'!M2</f>
        <v>-0.2173608257750097</v>
      </c>
      <c r="N2">
        <f>'with tariffs'!N2-'without tariffs'!N2</f>
        <v>-0.41634153515103678</v>
      </c>
      <c r="O2">
        <f>'with tariffs'!O2-'without tariffs'!O2</f>
        <v>-0.153389057406463</v>
      </c>
      <c r="P2">
        <f>'with tariffs'!P2-'without tariffs'!P2</f>
        <v>-2.3770451732937597E-2</v>
      </c>
      <c r="Q2">
        <f>'with tariffs'!Q2-'without tariffs'!Q2</f>
        <v>1.4220895508582965E-2</v>
      </c>
      <c r="R2">
        <f>'with tariffs'!R2-'without tariffs'!R2</f>
        <v>-8.9967511644751023E-5</v>
      </c>
      <c r="S2">
        <f>'with tariffs'!S2-'without tariffs'!S2</f>
        <v>-1.50813321983366E-2</v>
      </c>
      <c r="T2">
        <f>'with tariffs'!T2-'without tariffs'!T2</f>
        <v>8.7068931904188407E-5</v>
      </c>
      <c r="U2">
        <f>'with tariffs'!U2-'without tariffs'!U2</f>
        <v>0.12987342751835204</v>
      </c>
      <c r="V2">
        <f>'with tariffs'!V2-'without tariffs'!V2</f>
        <v>-8.2568914287444242E-4</v>
      </c>
      <c r="W2">
        <f>'with tariffs'!W2-'without tariffs'!W2</f>
        <v>0.25196685489074422</v>
      </c>
      <c r="X2">
        <f>'with tariffs'!X2-'without tariffs'!X2</f>
        <v>-0.13959758192056898</v>
      </c>
      <c r="Y2">
        <f>'with tariffs'!Y2-'without tariffs'!Y2</f>
        <v>-9.4792334173997989E-2</v>
      </c>
      <c r="Z2">
        <f>'with tariffs'!Z2-'without tariffs'!Z2</f>
        <v>-0.22277208583627395</v>
      </c>
      <c r="AA2">
        <f>'with tariffs'!AA2-'without tariffs'!AA2</f>
        <v>0.34923048531600803</v>
      </c>
      <c r="AB2">
        <f>'with tariffs'!AB2-'without tariffs'!AC2</f>
        <v>1.197392835249361</v>
      </c>
      <c r="AC2">
        <f>'with tariffs'!AC2-'without tariffs'!AD2</f>
        <v>-0.94409415001866304</v>
      </c>
      <c r="AD2">
        <f>'with tariffs'!AD2-'without tariffs'!AE2</f>
        <v>-0.73466231845520102</v>
      </c>
      <c r="AE2">
        <f>'with tariffs'!AE2-'without tariffs'!AF2</f>
        <v>-0.23046572306772301</v>
      </c>
      <c r="AF2">
        <f>'with tariffs'!AF2-'without tariffs'!AG2</f>
        <v>0</v>
      </c>
    </row>
    <row r="3" spans="1:32" x14ac:dyDescent="0.35">
      <c r="A3" t="s">
        <v>33</v>
      </c>
      <c r="B3" t="s">
        <v>32</v>
      </c>
      <c r="C3">
        <v>-1</v>
      </c>
      <c r="D3">
        <f>'with tariffs'!D3-'without tariffs'!D3</f>
        <v>0.22097820873037527</v>
      </c>
      <c r="E3">
        <f>'with tariffs'!E3-'without tariffs'!E3</f>
        <v>-0.12705272584737801</v>
      </c>
      <c r="F3">
        <f>'with tariffs'!F3-'without tariffs'!F3</f>
        <v>2.89667351448719E-2</v>
      </c>
      <c r="G3">
        <f>'with tariffs'!G3-'without tariffs'!G3</f>
        <v>4.5671810599964294E-2</v>
      </c>
      <c r="H3">
        <f>'with tariffs'!H3-'without tariffs'!H3</f>
        <v>1.2546695769541802E-2</v>
      </c>
      <c r="I3">
        <f>'with tariffs'!I3-'without tariffs'!I3</f>
        <v>0.14827739761382402</v>
      </c>
      <c r="J3">
        <f>'with tariffs'!J3-'without tariffs'!J3</f>
        <v>4.2183619917767964E-3</v>
      </c>
      <c r="K3">
        <f>'with tariffs'!K3-'without tariffs'!K3</f>
        <v>0.16585975709353851</v>
      </c>
      <c r="L3">
        <f>'with tariffs'!L3-'without tariffs'!L3</f>
        <v>0.1549627695065236</v>
      </c>
      <c r="M3">
        <f>'with tariffs'!M3-'without tariffs'!M3</f>
        <v>-3.3451247097991299E-2</v>
      </c>
      <c r="N3">
        <f>'with tariffs'!N3-'without tariffs'!N3</f>
        <v>-1.5133912402860595E-3</v>
      </c>
      <c r="O3">
        <f>'with tariffs'!O3-'without tariffs'!O3</f>
        <v>-0.1230899740029312</v>
      </c>
      <c r="P3">
        <f>'with tariffs'!P3-'without tariffs'!P3</f>
        <v>1.9541876275811297E-2</v>
      </c>
      <c r="Q3">
        <f>'with tariffs'!Q3-'without tariffs'!Q3</f>
        <v>-0.21327789894649499</v>
      </c>
      <c r="R3">
        <f>'with tariffs'!R3-'without tariffs'!R3</f>
        <v>6.3051654147913E-3</v>
      </c>
      <c r="S3">
        <f>'with tariffs'!S3-'without tariffs'!S3</f>
        <v>-2.0890001808610004E-4</v>
      </c>
      <c r="T3">
        <f>'with tariffs'!T3-'without tariffs'!T3</f>
        <v>4.1792853403110897E-4</v>
      </c>
      <c r="U3">
        <f>'with tariffs'!U3-'without tariffs'!U3</f>
        <v>-2.5304430956085006E-2</v>
      </c>
      <c r="V3">
        <f>'with tariffs'!V3-'without tariffs'!V3</f>
        <v>-1.9406617685740403E-5</v>
      </c>
      <c r="W3">
        <f>'with tariffs'!W3-'without tariffs'!W3</f>
        <v>-0.1384110258617969</v>
      </c>
      <c r="X3">
        <f>'with tariffs'!X3-'without tariffs'!X3</f>
        <v>0.1728698289399016</v>
      </c>
      <c r="Y3">
        <f>'with tariffs'!Y3-'without tariffs'!Y3</f>
        <v>-0.42024021600706801</v>
      </c>
      <c r="Z3">
        <f>'with tariffs'!Z3-'without tariffs'!Z3</f>
        <v>0.51416569889006492</v>
      </c>
      <c r="AA3">
        <f>'with tariffs'!AA3-'without tariffs'!AA3</f>
        <v>0.23940359795292099</v>
      </c>
      <c r="AB3">
        <f>'with tariffs'!AB3-'without tariffs'!AC3</f>
        <v>0.83764371728803499</v>
      </c>
      <c r="AC3">
        <f>'with tariffs'!AC3-'without tariffs'!AD3</f>
        <v>-0.12560558312297898</v>
      </c>
      <c r="AD3">
        <f>'with tariffs'!AD3-'without tariffs'!AE3</f>
        <v>-0.17858028522008801</v>
      </c>
      <c r="AE3">
        <f>'with tariffs'!AE3-'without tariffs'!AF3</f>
        <v>0.271662101600327</v>
      </c>
      <c r="AF3">
        <f>'with tariffs'!AF3-'without tariffs'!AG3</f>
        <v>0</v>
      </c>
    </row>
    <row r="4" spans="1:32" x14ac:dyDescent="0.35">
      <c r="A4" t="s">
        <v>34</v>
      </c>
      <c r="B4" t="s">
        <v>32</v>
      </c>
      <c r="C4">
        <v>-1</v>
      </c>
      <c r="D4">
        <f>'with tariffs'!D4-'without tariffs'!D4</f>
        <v>0.16606642347151779</v>
      </c>
      <c r="E4">
        <f>'with tariffs'!E4-'without tariffs'!E4</f>
        <v>0.23762229048792111</v>
      </c>
      <c r="F4">
        <f>'with tariffs'!F4-'without tariffs'!F4</f>
        <v>-0.40563785021567089</v>
      </c>
      <c r="G4">
        <f>'with tariffs'!G4-'without tariffs'!G4</f>
        <v>-0.15634689670446811</v>
      </c>
      <c r="H4">
        <f>'with tariffs'!H4-'without tariffs'!H4</f>
        <v>-1.13079722317347E-2</v>
      </c>
      <c r="I4">
        <f>'with tariffs'!I4-'without tariffs'!I4</f>
        <v>-4.4572600453973002E-2</v>
      </c>
      <c r="J4">
        <f>'with tariffs'!J4-'without tariffs'!J4</f>
        <v>-6.1882454286738969E-3</v>
      </c>
      <c r="K4">
        <f>'with tariffs'!K4-'without tariffs'!K4</f>
        <v>-0.1857663189096263</v>
      </c>
      <c r="L4">
        <f>'with tariffs'!L4-'without tariffs'!L4</f>
        <v>-0.22825281097241759</v>
      </c>
      <c r="M4">
        <f>'with tariffs'!M4-'without tariffs'!M4</f>
        <v>0</v>
      </c>
      <c r="N4">
        <f>'with tariffs'!N4-'without tariffs'!N4</f>
        <v>0.10545163037126588</v>
      </c>
      <c r="O4">
        <f>'with tariffs'!O4-'without tariffs'!O4</f>
        <v>-6.01434400987214E-3</v>
      </c>
      <c r="P4">
        <f>'with tariffs'!P4-'without tariffs'!P4</f>
        <v>1.03238587674786E-2</v>
      </c>
      <c r="Q4">
        <f>'with tariffs'!Q4-'without tariffs'!Q4</f>
        <v>-1.6797154221667998E-2</v>
      </c>
      <c r="R4">
        <f>'with tariffs'!R4-'without tariffs'!R4</f>
        <v>8.2331771184903941E-4</v>
      </c>
      <c r="S4">
        <f>'with tariffs'!S4-'without tariffs'!S4</f>
        <v>1.0917346536000301E-2</v>
      </c>
      <c r="T4">
        <f>'with tariffs'!T4-'without tariffs'!T4</f>
        <v>-3.3323871890876502E-2</v>
      </c>
      <c r="U4">
        <f>'with tariffs'!U4-'without tariffs'!U4</f>
        <v>-8.1973903387159985E-3</v>
      </c>
      <c r="V4">
        <f>'with tariffs'!V4-'without tariffs'!V4</f>
        <v>5.3715895650180781E-4</v>
      </c>
      <c r="W4">
        <f>'with tariffs'!W4-'without tariffs'!W4</f>
        <v>0.19666231386458269</v>
      </c>
      <c r="X4">
        <f>'with tariffs'!X4-'without tariffs'!X4</f>
        <v>-5.705742450462159E-2</v>
      </c>
      <c r="Y4">
        <f>'with tariffs'!Y4-'without tariffs'!Y4</f>
        <v>0.423884600579082</v>
      </c>
      <c r="Z4">
        <f>'with tariffs'!Z4-'without tariffs'!Z4</f>
        <v>-2.0195886619643014E-2</v>
      </c>
      <c r="AA4">
        <f>'with tariffs'!AA4-'without tariffs'!AA4</f>
        <v>-0.62275803129357299</v>
      </c>
      <c r="AB4">
        <f>'with tariffs'!AB4-'without tariffs'!AC4</f>
        <v>0.53485407626553194</v>
      </c>
      <c r="AC4">
        <f>'with tariffs'!AC4-'without tariffs'!AD4</f>
        <v>-0.94826458026462601</v>
      </c>
      <c r="AD4">
        <f>'with tariffs'!AD4-'without tariffs'!AE4</f>
        <v>-0.83879206793582806</v>
      </c>
      <c r="AE4">
        <f>'with tariffs'!AE4-'without tariffs'!AF4</f>
        <v>-0.13028163430003742</v>
      </c>
      <c r="AF4">
        <f>'with tariffs'!AF4-'without tariffs'!AG4</f>
        <v>0</v>
      </c>
    </row>
    <row r="5" spans="1:32" x14ac:dyDescent="0.35">
      <c r="A5" t="s">
        <v>35</v>
      </c>
      <c r="B5" t="s">
        <v>32</v>
      </c>
      <c r="C5">
        <v>-1</v>
      </c>
      <c r="D5">
        <f>'with tariffs'!D5-'without tariffs'!D5</f>
        <v>-0.21913554827882811</v>
      </c>
      <c r="E5">
        <f>'with tariffs'!E5-'without tariffs'!E5</f>
        <v>4.554227274036679E-2</v>
      </c>
      <c r="F5">
        <f>'with tariffs'!F5-'without tariffs'!F5</f>
        <v>0.13939393309680798</v>
      </c>
      <c r="G5">
        <f>'with tariffs'!G5-'without tariffs'!G5</f>
        <v>2.7062802180673001E-2</v>
      </c>
      <c r="H5">
        <f>'with tariffs'!H5-'without tariffs'!H5</f>
        <v>-1.3472556912873399E-2</v>
      </c>
      <c r="I5">
        <f>'with tariffs'!I5-'without tariffs'!I5</f>
        <v>3.2794280870409101E-2</v>
      </c>
      <c r="J5">
        <f>'with tariffs'!J5-'without tariffs'!J5</f>
        <v>-8.4678051585447035E-3</v>
      </c>
      <c r="K5">
        <f>'with tariffs'!K5-'without tariffs'!K5</f>
        <v>-0.1948763878284327</v>
      </c>
      <c r="L5">
        <f>'with tariffs'!L5-'without tariffs'!L5</f>
        <v>-4.4577863607414503E-2</v>
      </c>
      <c r="M5">
        <f>'with tariffs'!M5-'without tariffs'!M5</f>
        <v>0</v>
      </c>
      <c r="N5">
        <f>'with tariffs'!N5-'without tariffs'!N5</f>
        <v>-7.0091214814290009E-3</v>
      </c>
      <c r="O5">
        <f>'with tariffs'!O5-'without tariffs'!O5</f>
        <v>-7.4105945256027806E-4</v>
      </c>
      <c r="P5">
        <f>'with tariffs'!P5-'without tariffs'!P5</f>
        <v>2.2472073992040997E-3</v>
      </c>
      <c r="Q5">
        <f>'with tariffs'!Q5-'without tariffs'!Q5</f>
        <v>0.19832096007250202</v>
      </c>
      <c r="R5">
        <f>'with tariffs'!R5-'without tariffs'!R5</f>
        <v>1.0238775944477361E-2</v>
      </c>
      <c r="S5">
        <f>'with tariffs'!S5-'without tariffs'!S5</f>
        <v>-1.5833266005997049E-3</v>
      </c>
      <c r="T5">
        <f>'with tariffs'!T5-'without tariffs'!T5</f>
        <v>-1.3069556596864804E-2</v>
      </c>
      <c r="U5">
        <f>'with tariffs'!U5-'without tariffs'!U5</f>
        <v>-8.3674726912635056E-3</v>
      </c>
      <c r="V5">
        <f>'with tariffs'!V5-'without tariffs'!V5</f>
        <v>1.578364121479576E-3</v>
      </c>
      <c r="W5">
        <f>'with tariffs'!W5-'without tariffs'!W5</f>
        <v>-3.1195041611975005E-2</v>
      </c>
      <c r="X5">
        <f>'with tariffs'!X5-'without tariffs'!X5</f>
        <v>1.7903712942009986E-2</v>
      </c>
      <c r="Y5">
        <f>'with tariffs'!Y5-'without tariffs'!Y5</f>
        <v>-0.33381952323245001</v>
      </c>
      <c r="Z5">
        <f>'with tariffs'!Z5-'without tariffs'!Z5</f>
        <v>0.16022624769398852</v>
      </c>
      <c r="AA5">
        <f>'with tariffs'!AA5-'without tariffs'!AA5</f>
        <v>0.17681432412225107</v>
      </c>
      <c r="AB5">
        <f>'with tariffs'!AB5-'without tariffs'!AC5</f>
        <v>1.0409585815910321</v>
      </c>
      <c r="AC5">
        <f>'with tariffs'!AC5-'without tariffs'!AD5</f>
        <v>-0.63046135558037997</v>
      </c>
      <c r="AD5">
        <f>'with tariffs'!AD5-'without tariffs'!AE5</f>
        <v>-6.8737442338671989E-2</v>
      </c>
      <c r="AE5">
        <f>'with tariffs'!AE5-'without tariffs'!AF5</f>
        <v>0.11996686309741401</v>
      </c>
      <c r="AF5">
        <f>'with tariffs'!AF5-'without tariffs'!AG5</f>
        <v>0</v>
      </c>
    </row>
    <row r="6" spans="1:32" x14ac:dyDescent="0.35">
      <c r="A6" t="s">
        <v>36</v>
      </c>
      <c r="B6" t="s">
        <v>32</v>
      </c>
      <c r="C6">
        <v>-1</v>
      </c>
      <c r="D6">
        <f>'with tariffs'!D6-'without tariffs'!D6</f>
        <v>-0.28302706001981198</v>
      </c>
      <c r="E6">
        <f>'with tariffs'!E6-'without tariffs'!E6</f>
        <v>-8.5293115785662899E-2</v>
      </c>
      <c r="F6">
        <f>'with tariffs'!F6-'without tariffs'!F6</f>
        <v>8.2935746369778018E-2</v>
      </c>
      <c r="G6">
        <f>'with tariffs'!G6-'without tariffs'!G6</f>
        <v>0.15983061333116361</v>
      </c>
      <c r="H6">
        <f>'with tariffs'!H6-'without tariffs'!H6</f>
        <v>-3.2163529298743013E-3</v>
      </c>
      <c r="I6">
        <f>'with tariffs'!I6-'without tariffs'!I6</f>
        <v>0.18989432665496808</v>
      </c>
      <c r="J6">
        <f>'with tariffs'!J6-'without tariffs'!J6</f>
        <v>-1.0462164237979998E-2</v>
      </c>
      <c r="K6">
        <f>'with tariffs'!K6-'without tariffs'!K6</f>
        <v>-8.3406808338431004E-2</v>
      </c>
      <c r="L6">
        <f>'with tariffs'!L6-'without tariffs'!L6</f>
        <v>-2.9311448756814004E-2</v>
      </c>
      <c r="M6">
        <f>'with tariffs'!M6-'without tariffs'!M6</f>
        <v>0</v>
      </c>
      <c r="N6">
        <f>'with tariffs'!N6-'without tariffs'!N6</f>
        <v>-4.2624169286190061E-3</v>
      </c>
      <c r="O6">
        <f>'with tariffs'!O6-'without tariffs'!O6</f>
        <v>-3.37903339744434E-4</v>
      </c>
      <c r="P6">
        <f>'with tariffs'!P6-'without tariffs'!P6</f>
        <v>2.1495467285031003E-3</v>
      </c>
      <c r="Q6">
        <f>'with tariffs'!Q6-'without tariffs'!Q6</f>
        <v>-3.6429991515117999E-2</v>
      </c>
      <c r="R6">
        <f>'with tariffs'!R6-'without tariffs'!R6</f>
        <v>4.9917857871206901E-2</v>
      </c>
      <c r="S6">
        <f>'with tariffs'!S6-'without tariffs'!S6</f>
        <v>-1.8702454192528958E-3</v>
      </c>
      <c r="T6">
        <f>'with tariffs'!T6-'without tariffs'!T6</f>
        <v>-6.3016752436006948E-3</v>
      </c>
      <c r="U6">
        <f>'with tariffs'!U6-'without tariffs'!U6</f>
        <v>-4.0373745746535399E-2</v>
      </c>
      <c r="V6">
        <f>'with tariffs'!V6-'without tariffs'!V6</f>
        <v>-2.1176920947636822E-3</v>
      </c>
      <c r="W6">
        <f>'with tariffs'!W6-'without tariffs'!W6</f>
        <v>-0.31473372891628298</v>
      </c>
      <c r="X6">
        <f>'with tariffs'!X6-'without tariffs'!X6</f>
        <v>6.8032047814686109E-2</v>
      </c>
      <c r="Y6">
        <f>'with tariffs'!Y6-'without tariffs'!Y6</f>
        <v>-0.44394383239589597</v>
      </c>
      <c r="Z6">
        <f>'with tariffs'!Z6-'without tariffs'!Z6</f>
        <v>7.5623656590421501E-2</v>
      </c>
      <c r="AA6">
        <f>'with tariffs'!AA6-'without tariffs'!AA6</f>
        <v>0.41790505164232794</v>
      </c>
      <c r="AB6">
        <f>'with tariffs'!AB6-'without tariffs'!AC6</f>
        <v>0.49674103129499314</v>
      </c>
      <c r="AC6">
        <f>'with tariffs'!AC6-'without tariffs'!AD6</f>
        <v>-0.53820774094891699</v>
      </c>
      <c r="AD6">
        <f>'with tariffs'!AD6-'without tariffs'!AE6</f>
        <v>-0.52302471302762399</v>
      </c>
      <c r="AE6">
        <f>'with tariffs'!AE6-'without tariffs'!AF6</f>
        <v>5.5144724890616975E-2</v>
      </c>
      <c r="AF6">
        <f>'with tariffs'!AF6-'without tariffs'!AG6</f>
        <v>0</v>
      </c>
    </row>
    <row r="7" spans="1:32" x14ac:dyDescent="0.35">
      <c r="A7" t="s">
        <v>37</v>
      </c>
      <c r="B7" t="s">
        <v>32</v>
      </c>
      <c r="C7">
        <v>-1</v>
      </c>
      <c r="D7">
        <f>'with tariffs'!D7-'without tariffs'!D7</f>
        <v>0.27263192185510099</v>
      </c>
      <c r="E7">
        <f>'with tariffs'!E7-'without tariffs'!E7</f>
        <v>9.5851666154375792E-2</v>
      </c>
      <c r="F7">
        <f>'with tariffs'!F7-'without tariffs'!F7</f>
        <v>1.9178288462849968E-3</v>
      </c>
      <c r="G7">
        <f>'with tariffs'!G7-'without tariffs'!G7</f>
        <v>-7.597139053027703E-3</v>
      </c>
      <c r="H7">
        <f>'with tariffs'!H7-'without tariffs'!H7</f>
        <v>-9.363757476523904E-3</v>
      </c>
      <c r="I7">
        <f>'with tariffs'!I7-'without tariffs'!I7</f>
        <v>3.8363410185322799E-2</v>
      </c>
      <c r="J7">
        <f>'with tariffs'!J7-'without tariffs'!J7</f>
        <v>-2.38748095807934E-2</v>
      </c>
      <c r="K7">
        <f>'with tariffs'!K7-'without tariffs'!K7</f>
        <v>-9.4021088823659782E-3</v>
      </c>
      <c r="L7">
        <f>'with tariffs'!L7-'without tariffs'!L7</f>
        <v>3.2692676697984105E-2</v>
      </c>
      <c r="M7">
        <f>'with tariffs'!M7-'without tariffs'!M7</f>
        <v>0</v>
      </c>
      <c r="N7">
        <f>'with tariffs'!N7-'without tariffs'!N7</f>
        <v>-4.1311777125990767E-5</v>
      </c>
      <c r="O7">
        <f>'with tariffs'!O7-'without tariffs'!O7</f>
        <v>-1.6151266591345501E-4</v>
      </c>
      <c r="P7">
        <f>'with tariffs'!P7-'without tariffs'!P7</f>
        <v>4.6797064412783607E-3</v>
      </c>
      <c r="Q7">
        <f>'with tariffs'!Q7-'without tariffs'!Q7</f>
        <v>-0.15518171998885602</v>
      </c>
      <c r="R7">
        <f>'with tariffs'!R7-'without tariffs'!R7</f>
        <v>-3.7643117163036401E-2</v>
      </c>
      <c r="S7">
        <f>'with tariffs'!S7-'without tariffs'!S7</f>
        <v>-1.17433303951106E-2</v>
      </c>
      <c r="T7">
        <f>'with tariffs'!T7-'without tariffs'!T7</f>
        <v>-1.7414019184516103E-2</v>
      </c>
      <c r="U7">
        <f>'with tariffs'!U7-'without tariffs'!U7</f>
        <v>-2.5057584282364397E-2</v>
      </c>
      <c r="V7">
        <f>'with tariffs'!V7-'without tariffs'!V7</f>
        <v>1.1284909410682802E-5</v>
      </c>
      <c r="W7">
        <f>'with tariffs'!W7-'without tariffs'!W7</f>
        <v>5.6765962114806001E-2</v>
      </c>
      <c r="X7">
        <f>'with tariffs'!X7-'without tariffs'!X7</f>
        <v>-0.10629710590362612</v>
      </c>
      <c r="Y7">
        <f>'with tariffs'!Y7-'without tariffs'!Y7</f>
        <v>0.48322741767706401</v>
      </c>
      <c r="Z7">
        <f>'with tariffs'!Z7-'without tariffs'!Z7</f>
        <v>-0.11474382966758739</v>
      </c>
      <c r="AA7">
        <f>'with tariffs'!AA7-'without tariffs'!AA7</f>
        <v>-5.8888026837999874E-4</v>
      </c>
      <c r="AB7">
        <f>'with tariffs'!AB7-'without tariffs'!AC7</f>
        <v>6.1902998731822034E-4</v>
      </c>
      <c r="AC7">
        <f>'with tariffs'!AC7-'without tariffs'!AD7</f>
        <v>-0.40632460306875506</v>
      </c>
      <c r="AD7">
        <f>'with tariffs'!AD7-'without tariffs'!AE7</f>
        <v>-0.44302818329954496</v>
      </c>
      <c r="AE7">
        <f>'with tariffs'!AE7-'without tariffs'!AF7</f>
        <v>0.21597942093982103</v>
      </c>
      <c r="AF7">
        <f>'with tariffs'!AF7-'without tariffs'!AG7</f>
        <v>0</v>
      </c>
    </row>
    <row r="8" spans="1:32" x14ac:dyDescent="0.35">
      <c r="A8" t="s">
        <v>38</v>
      </c>
      <c r="B8" t="s">
        <v>32</v>
      </c>
      <c r="C8">
        <v>-1</v>
      </c>
      <c r="D8">
        <f>'with tariffs'!D8-'without tariffs'!D8</f>
        <v>0.653327223928023</v>
      </c>
      <c r="E8">
        <f>'with tariffs'!E8-'without tariffs'!E8</f>
        <v>7.7169101210179697E-2</v>
      </c>
      <c r="F8">
        <f>'with tariffs'!F8-'without tariffs'!F8</f>
        <v>0.33470457199780967</v>
      </c>
      <c r="G8">
        <f>'with tariffs'!G8-'without tariffs'!G8</f>
        <v>-1.6729420417121599E-2</v>
      </c>
      <c r="H8">
        <f>'with tariffs'!H8-'without tariffs'!H8</f>
        <v>-3.0074446220741256E-2</v>
      </c>
      <c r="I8">
        <f>'with tariffs'!I8-'without tariffs'!I8</f>
        <v>-0.15858030985845378</v>
      </c>
      <c r="J8">
        <f>'with tariffs'!J8-'without tariffs'!J8</f>
        <v>-2.2066080657477012E-3</v>
      </c>
      <c r="K8">
        <f>'with tariffs'!K8-'without tariffs'!K8</f>
        <v>9.0470948376669968E-2</v>
      </c>
      <c r="L8">
        <f>'with tariffs'!L8-'without tariffs'!L8</f>
        <v>2.5894804369145312E-2</v>
      </c>
      <c r="M8">
        <f>'with tariffs'!M8-'without tariffs'!M8</f>
        <v>0</v>
      </c>
      <c r="N8">
        <f>'with tariffs'!N8-'without tariffs'!N8</f>
        <v>-3.4983182601848045E-3</v>
      </c>
      <c r="O8">
        <f>'with tariffs'!O8-'without tariffs'!O8</f>
        <v>-1.7257240165849299E-4</v>
      </c>
      <c r="P8">
        <f>'with tariffs'!P8-'without tariffs'!P8</f>
        <v>5.3301233299620837E-3</v>
      </c>
      <c r="Q8">
        <f>'with tariffs'!Q8-'without tariffs'!Q8</f>
        <v>-8.0840769048883099E-2</v>
      </c>
      <c r="R8">
        <f>'with tariffs'!R8-'without tariffs'!R8</f>
        <v>-9.3238819453270172E-4</v>
      </c>
      <c r="S8">
        <f>'with tariffs'!S8-'without tariffs'!S8</f>
        <v>-7.3311358056906018E-3</v>
      </c>
      <c r="T8">
        <f>'with tariffs'!T8-'without tariffs'!T8</f>
        <v>-1.5914274255199201E-2</v>
      </c>
      <c r="U8">
        <f>'with tariffs'!U8-'without tariffs'!U8</f>
        <v>-5.7260552672290174E-4</v>
      </c>
      <c r="V8">
        <f>'with tariffs'!V8-'without tariffs'!V8</f>
        <v>2.4662018684707917E-4</v>
      </c>
      <c r="W8">
        <f>'with tariffs'!W8-'without tariffs'!W8</f>
        <v>4.5981385152893989E-2</v>
      </c>
      <c r="X8">
        <f>'with tariffs'!X8-'without tariffs'!X8</f>
        <v>0.14830405553035686</v>
      </c>
      <c r="Y8">
        <f>'with tariffs'!Y8-'without tariffs'!Y8</f>
        <v>1.3224997043674451</v>
      </c>
      <c r="Z8">
        <f>'with tariffs'!Z8-'without tariffs'!Z8</f>
        <v>-0.59200337922924562</v>
      </c>
      <c r="AA8">
        <f>'with tariffs'!AA8-'without tariffs'!AA8</f>
        <v>0.12744526557930522</v>
      </c>
      <c r="AB8">
        <f>'with tariffs'!AB8-'without tariffs'!AC8</f>
        <v>0.2467513987006123</v>
      </c>
      <c r="AC8">
        <f>'with tariffs'!AC8-'without tariffs'!AD8</f>
        <v>0.19608035514459729</v>
      </c>
      <c r="AD8">
        <f>'with tariffs'!AD8-'without tariffs'!AE8</f>
        <v>0.89007619289572992</v>
      </c>
      <c r="AE8">
        <f>'with tariffs'!AE8-'without tariffs'!AF8</f>
        <v>0.30314976400711696</v>
      </c>
      <c r="AF8">
        <f>'with tariffs'!AF8-'without tariffs'!AG8</f>
        <v>0</v>
      </c>
    </row>
    <row r="9" spans="1:32" x14ac:dyDescent="0.35">
      <c r="A9" t="s">
        <v>39</v>
      </c>
      <c r="B9" t="s">
        <v>32</v>
      </c>
      <c r="C9">
        <v>-1</v>
      </c>
      <c r="D9">
        <f>'with tariffs'!D9-'without tariffs'!D9</f>
        <v>-2.2862734333808976E-2</v>
      </c>
      <c r="E9">
        <f>'with tariffs'!E9-'without tariffs'!E9</f>
        <v>-0.12683565816937309</v>
      </c>
      <c r="F9">
        <f>'with tariffs'!F9-'without tariffs'!F9</f>
        <v>0.14674744178992732</v>
      </c>
      <c r="G9">
        <f>'with tariffs'!G9-'without tariffs'!G9</f>
        <v>8.5156191238652104E-2</v>
      </c>
      <c r="H9">
        <f>'with tariffs'!H9-'without tariffs'!H9</f>
        <v>-1.1322814502825171E-2</v>
      </c>
      <c r="I9">
        <f>'with tariffs'!I9-'without tariffs'!I9</f>
        <v>-0.16231789940836422</v>
      </c>
      <c r="J9">
        <f>'with tariffs'!J9-'without tariffs'!J9</f>
        <v>1.165227949575154E-2</v>
      </c>
      <c r="K9">
        <f>'with tariffs'!K9-'without tariffs'!K9</f>
        <v>-0.28546008634702902</v>
      </c>
      <c r="L9">
        <f>'with tariffs'!L9-'without tariffs'!L9</f>
        <v>5.5685029459874892E-3</v>
      </c>
      <c r="M9">
        <f>'with tariffs'!M9-'without tariffs'!M9</f>
        <v>0</v>
      </c>
      <c r="N9">
        <f>'with tariffs'!N9-'without tariffs'!N9</f>
        <v>-1.9160536894975988E-3</v>
      </c>
      <c r="O9">
        <f>'with tariffs'!O9-'without tariffs'!O9</f>
        <v>0</v>
      </c>
      <c r="P9">
        <f>'with tariffs'!P9-'without tariffs'!P9</f>
        <v>-1.378643504188584E-3</v>
      </c>
      <c r="Q9">
        <f>'with tariffs'!Q9-'without tariffs'!Q9</f>
        <v>2.1253923195984195E-2</v>
      </c>
      <c r="R9">
        <f>'with tariffs'!R9-'without tariffs'!R9</f>
        <v>-1.3772739856692008E-3</v>
      </c>
      <c r="S9">
        <f>'with tariffs'!S9-'without tariffs'!S9</f>
        <v>-1.4804298548656003E-3</v>
      </c>
      <c r="T9">
        <f>'with tariffs'!T9-'without tariffs'!T9</f>
        <v>-5.8741360412859975E-4</v>
      </c>
      <c r="U9">
        <f>'with tariffs'!U9-'without tariffs'!U9</f>
        <v>-6.3612634538374978E-3</v>
      </c>
      <c r="V9">
        <f>'with tariffs'!V9-'without tariffs'!V9</f>
        <v>7.3587102849103996E-4</v>
      </c>
      <c r="W9">
        <f>'with tariffs'!W9-'without tariffs'!W9</f>
        <v>-0.181016689788741</v>
      </c>
      <c r="X9">
        <f>'with tariffs'!X9-'without tariffs'!X9</f>
        <v>3.256534828959496E-2</v>
      </c>
      <c r="Y9">
        <f>'with tariffs'!Y9-'without tariffs'!Y9</f>
        <v>-0.22398816069837402</v>
      </c>
      <c r="Z9">
        <f>'with tariffs'!Z9-'without tariffs'!Z9</f>
        <v>7.428976819519495E-2</v>
      </c>
      <c r="AA9">
        <f>'with tariffs'!AA9-'without tariffs'!AA9</f>
        <v>6.9537608807597198E-2</v>
      </c>
      <c r="AB9">
        <f>'with tariffs'!AB9-'without tariffs'!AC9</f>
        <v>-0.45905076464800304</v>
      </c>
      <c r="AC9">
        <f>'with tariffs'!AC9-'without tariffs'!AD9</f>
        <v>-6.1614440001846592E-2</v>
      </c>
      <c r="AD9">
        <f>'with tariffs'!AD9-'without tariffs'!AE9</f>
        <v>0.35556940161265771</v>
      </c>
      <c r="AE9">
        <f>'with tariffs'!AE9-'without tariffs'!AF9</f>
        <v>-0.60749058557448976</v>
      </c>
      <c r="AF9">
        <f>'with tariffs'!AF9-'without tariffs'!AG9</f>
        <v>0</v>
      </c>
    </row>
    <row r="10" spans="1:32" x14ac:dyDescent="0.35">
      <c r="A10" t="s">
        <v>40</v>
      </c>
      <c r="B10" t="s">
        <v>32</v>
      </c>
      <c r="C10">
        <v>-1</v>
      </c>
      <c r="D10">
        <f>'with tariffs'!D10-'without tariffs'!D10</f>
        <v>-0.49842604027440635</v>
      </c>
      <c r="E10">
        <f>'with tariffs'!E10-'without tariffs'!E10</f>
        <v>0.27946409858285459</v>
      </c>
      <c r="F10">
        <f>'with tariffs'!F10-'without tariffs'!F10</f>
        <v>-0.67742857722488092</v>
      </c>
      <c r="G10">
        <f>'with tariffs'!G10-'without tariffs'!G10</f>
        <v>-7.1296327445475899E-2</v>
      </c>
      <c r="H10">
        <f>'with tariffs'!H10-'without tariffs'!H10</f>
        <v>-0.17864732363092786</v>
      </c>
      <c r="I10">
        <f>'with tariffs'!I10-'without tariffs'!I10</f>
        <v>7.433705581623401E-2</v>
      </c>
      <c r="J10">
        <f>'with tariffs'!J10-'without tariffs'!J10</f>
        <v>-5.0653185873036407E-3</v>
      </c>
      <c r="K10">
        <f>'with tariffs'!K10-'without tariffs'!K10</f>
        <v>0.19747371775613803</v>
      </c>
      <c r="L10">
        <f>'with tariffs'!L10-'without tariffs'!L10</f>
        <v>-1.4258691876778867E-2</v>
      </c>
      <c r="M10">
        <f>'with tariffs'!M10-'without tariffs'!M10</f>
        <v>0</v>
      </c>
      <c r="N10">
        <f>'with tariffs'!N10-'without tariffs'!N10</f>
        <v>-9.3950933880133106E-2</v>
      </c>
      <c r="O10">
        <f>'with tariffs'!O10-'without tariffs'!O10</f>
        <v>0</v>
      </c>
      <c r="P10">
        <f>'with tariffs'!P10-'without tariffs'!P10</f>
        <v>1.019214812702812E-2</v>
      </c>
      <c r="Q10">
        <f>'with tariffs'!Q10-'without tariffs'!Q10</f>
        <v>-2.03726950893552E-2</v>
      </c>
      <c r="R10">
        <f>'with tariffs'!R10-'without tariffs'!R10</f>
        <v>-6.8910421486919823E-4</v>
      </c>
      <c r="S10">
        <f>'with tariffs'!S10-'without tariffs'!S10</f>
        <v>3.2695435551260109E-4</v>
      </c>
      <c r="T10">
        <f>'with tariffs'!T10-'without tariffs'!T10</f>
        <v>-1.47848970647191E-3</v>
      </c>
      <c r="U10">
        <f>'with tariffs'!U10-'without tariffs'!U10</f>
        <v>5.9001039833364993E-3</v>
      </c>
      <c r="V10">
        <f>'with tariffs'!V10-'without tariffs'!V10</f>
        <v>-5.1149031635208003E-4</v>
      </c>
      <c r="W10">
        <f>'with tariffs'!W10-'without tariffs'!W10</f>
        <v>6.0515866067974988E-2</v>
      </c>
      <c r="X10">
        <f>'with tariffs'!X10-'without tariffs'!X10</f>
        <v>-3.1887065092478503E-2</v>
      </c>
      <c r="Y10">
        <f>'with tariffs'!Y10-'without tariffs'!Y10</f>
        <v>-0.89546928472959619</v>
      </c>
      <c r="Z10">
        <f>'with tariffs'!Z10-'without tariffs'!Z10</f>
        <v>0.67650734303804505</v>
      </c>
      <c r="AA10">
        <f>'with tariffs'!AA10-'without tariffs'!AA10</f>
        <v>-0.85622402190310598</v>
      </c>
      <c r="AB10">
        <f>'with tariffs'!AB10-'without tariffs'!AC10</f>
        <v>-0.85658430057911306</v>
      </c>
      <c r="AC10">
        <f>'with tariffs'!AC10-'without tariffs'!AD10</f>
        <v>-0.10667723232039195</v>
      </c>
      <c r="AD10">
        <f>'with tariffs'!AD10-'without tariffs'!AE10</f>
        <v>-0.55389913136014801</v>
      </c>
      <c r="AE10">
        <f>'with tariffs'!AE10-'without tariffs'!AF10</f>
        <v>-0.61322320548173537</v>
      </c>
      <c r="AF10">
        <f>'with tariffs'!AF10-'without tariffs'!AG10</f>
        <v>0</v>
      </c>
    </row>
    <row r="11" spans="1:32" x14ac:dyDescent="0.35">
      <c r="A11" t="s">
        <v>41</v>
      </c>
      <c r="B11" t="s">
        <v>42</v>
      </c>
      <c r="C11">
        <v>0</v>
      </c>
      <c r="D11">
        <f>'with tariffs'!D11-'without tariffs'!D11</f>
        <v>0.41002198505446036</v>
      </c>
      <c r="E11">
        <f>'with tariffs'!E11-'without tariffs'!E11</f>
        <v>-9.7893930708897736E-4</v>
      </c>
      <c r="F11">
        <f>'with tariffs'!F11-'without tariffs'!F11</f>
        <v>-0.40080138492596701</v>
      </c>
      <c r="G11">
        <f>'with tariffs'!G11-'without tariffs'!G11</f>
        <v>1.91093789056897E-2</v>
      </c>
      <c r="H11">
        <f>'with tariffs'!H11-'without tariffs'!H11</f>
        <v>0.11976327518580729</v>
      </c>
      <c r="I11">
        <f>'with tariffs'!I11-'without tariffs'!I11</f>
        <v>-2.7520610082976016E-2</v>
      </c>
      <c r="J11">
        <f>'with tariffs'!J11-'without tariffs'!J11</f>
        <v>-2.7095380672325789E-3</v>
      </c>
      <c r="K11">
        <f>'with tariffs'!K11-'without tariffs'!K11</f>
        <v>5.1558206446521981E-2</v>
      </c>
      <c r="L11">
        <f>'with tariffs'!L11-'without tariffs'!L11</f>
        <v>-2.7059631646475134E-2</v>
      </c>
      <c r="M11">
        <f>'with tariffs'!M11-'without tariffs'!M11</f>
        <v>0</v>
      </c>
      <c r="N11">
        <f>'with tariffs'!N11-'without tariffs'!N11</f>
        <v>-2.7037827593603069E-5</v>
      </c>
      <c r="O11">
        <f>'with tariffs'!O11-'without tariffs'!O11</f>
        <v>0</v>
      </c>
      <c r="P11">
        <f>'with tariffs'!P11-'without tariffs'!P11</f>
        <v>-5.9202618417046084E-4</v>
      </c>
      <c r="Q11">
        <f>'with tariffs'!Q11-'without tariffs'!Q11</f>
        <v>-3.8343006580357199E-2</v>
      </c>
      <c r="R11">
        <f>'with tariffs'!R11-'without tariffs'!R11</f>
        <v>-2.214556766685296E-2</v>
      </c>
      <c r="S11">
        <f>'with tariffs'!S11-'without tariffs'!S11</f>
        <v>-9.5553529400830076E-4</v>
      </c>
      <c r="T11">
        <f>'with tariffs'!T11-'without tariffs'!T11</f>
        <v>-8.6686380557108016E-4</v>
      </c>
      <c r="U11">
        <f>'with tariffs'!U11-'without tariffs'!U11</f>
        <v>-5.0898312104923002E-3</v>
      </c>
      <c r="V11">
        <f>'with tariffs'!V11-'without tariffs'!V11</f>
        <v>-8.1086315562192983E-5</v>
      </c>
      <c r="W11">
        <f>'with tariffs'!W11-'without tariffs'!W11</f>
        <v>-4.9702100619809786E-3</v>
      </c>
      <c r="X11">
        <f>'with tariffs'!X11-'without tariffs'!X11</f>
        <v>-1.8218294162060999E-2</v>
      </c>
      <c r="Y11">
        <f>'with tariffs'!Y11-'without tariffs'!Y11</f>
        <v>0.46204220132728319</v>
      </c>
      <c r="Z11">
        <f>'with tariffs'!Z11-'without tariffs'!Z11</f>
        <v>-5.2999155579912208E-2</v>
      </c>
      <c r="AA11">
        <f>'with tariffs'!AA11-'without tariffs'!AA11</f>
        <v>-0.29112816234511096</v>
      </c>
      <c r="AB11">
        <f>'with tariffs'!AB11-'without tariffs'!AC11</f>
        <v>-0.40039434584767697</v>
      </c>
      <c r="AC11">
        <f>'with tariffs'!AC11-'without tariffs'!AD11</f>
        <v>0.73186417428720807</v>
      </c>
      <c r="AD11">
        <f>'with tariffs'!AD11-'without tariffs'!AE11</f>
        <v>1.139963328308794</v>
      </c>
      <c r="AE11">
        <f>'with tariffs'!AE11-'without tariffs'!AF11</f>
        <v>0.32525805459372981</v>
      </c>
      <c r="AF11">
        <f>'with tariffs'!AF11-'without tariffs'!AG11</f>
        <v>-0.1775563780009774</v>
      </c>
    </row>
    <row r="12" spans="1:32" x14ac:dyDescent="0.35">
      <c r="A12" t="s">
        <v>43</v>
      </c>
      <c r="B12" t="s">
        <v>42</v>
      </c>
      <c r="C12">
        <v>0</v>
      </c>
      <c r="D12">
        <f>'with tariffs'!D12-'without tariffs'!D12</f>
        <v>-1.3017191413769991</v>
      </c>
      <c r="E12">
        <f>'with tariffs'!E12-'without tariffs'!E12</f>
        <v>-1.1853024648080246E-3</v>
      </c>
      <c r="F12">
        <f>'with tariffs'!F12-'without tariffs'!F12</f>
        <v>-0.310953590082163</v>
      </c>
      <c r="G12">
        <f>'with tariffs'!G12-'without tariffs'!G12</f>
        <v>1.8030289301480859E-2</v>
      </c>
      <c r="H12">
        <f>'with tariffs'!H12-'without tariffs'!H12</f>
        <v>2.4037350867646967E-3</v>
      </c>
      <c r="I12">
        <f>'with tariffs'!I12-'without tariffs'!I12</f>
        <v>-0.17352957635295599</v>
      </c>
      <c r="J12">
        <f>'with tariffs'!J12-'without tariffs'!J12</f>
        <v>3.1911748928883689E-3</v>
      </c>
      <c r="K12">
        <f>'with tariffs'!K12-'without tariffs'!K12</f>
        <v>6.7892035923330013E-2</v>
      </c>
      <c r="L12">
        <f>'with tariffs'!L12-'without tariffs'!L12</f>
        <v>-1.3828400992706699E-2</v>
      </c>
      <c r="M12">
        <f>'with tariffs'!M12-'without tariffs'!M12</f>
        <v>0</v>
      </c>
      <c r="N12">
        <f>'with tariffs'!N12-'without tariffs'!N12</f>
        <v>-2.4087450854655044E-5</v>
      </c>
      <c r="O12">
        <f>'with tariffs'!O12-'without tariffs'!O12</f>
        <v>0</v>
      </c>
      <c r="P12">
        <f>'with tariffs'!P12-'without tariffs'!P12</f>
        <v>-6.2682378302020975E-4</v>
      </c>
      <c r="Q12">
        <f>'with tariffs'!Q12-'without tariffs'!Q12</f>
        <v>-3.347925044310409E-2</v>
      </c>
      <c r="R12">
        <f>'with tariffs'!R12-'without tariffs'!R12</f>
        <v>-1.2349638323078099E-3</v>
      </c>
      <c r="S12">
        <f>'with tariffs'!S12-'without tariffs'!S12</f>
        <v>1.4399728592128999E-3</v>
      </c>
      <c r="T12">
        <f>'with tariffs'!T12-'without tariffs'!T12</f>
        <v>-6.3363765265766949E-4</v>
      </c>
      <c r="U12">
        <f>'with tariffs'!U12-'without tariffs'!U12</f>
        <v>-1.7446162595260994E-3</v>
      </c>
      <c r="V12">
        <f>'with tariffs'!V12-'without tariffs'!V12</f>
        <v>-3.4019603806995004E-5</v>
      </c>
      <c r="W12">
        <f>'with tariffs'!W12-'without tariffs'!W12</f>
        <v>-4.3534104549324021E-2</v>
      </c>
      <c r="X12">
        <f>'with tariffs'!X12-'without tariffs'!X12</f>
        <v>-9.1790875211896009E-3</v>
      </c>
      <c r="Y12">
        <f>'with tariffs'!Y12-'without tariffs'!Y12</f>
        <v>-1.3543691903449711</v>
      </c>
      <c r="Z12">
        <f>'with tariffs'!Z12-'without tariffs'!Z12</f>
        <v>5.1464746503164197E-2</v>
      </c>
      <c r="AA12">
        <f>'with tariffs'!AA12-'without tariffs'!AA12</f>
        <v>-0.45983201543320013</v>
      </c>
      <c r="AB12">
        <f>'with tariffs'!AB12-'without tariffs'!AC12</f>
        <v>-0.52967954231113412</v>
      </c>
      <c r="AC12">
        <f>'with tariffs'!AC12-'without tariffs'!AD12</f>
        <v>-1.1976870404739921</v>
      </c>
      <c r="AD12">
        <f>'with tariffs'!AD12-'without tariffs'!AE12</f>
        <v>-3.0592389033999328</v>
      </c>
      <c r="AE12">
        <f>'with tariffs'!AE12-'without tariffs'!AF12</f>
        <v>-1.690011963696155</v>
      </c>
      <c r="AF12">
        <f>'with tariffs'!AF12-'without tariffs'!AG12</f>
        <v>-0.37577258769511407</v>
      </c>
    </row>
    <row r="13" spans="1:32" x14ac:dyDescent="0.35">
      <c r="A13" t="s">
        <v>44</v>
      </c>
      <c r="B13" t="s">
        <v>42</v>
      </c>
      <c r="C13">
        <v>0</v>
      </c>
      <c r="D13">
        <f>'with tariffs'!D13-'without tariffs'!D13</f>
        <v>0.86846945735580872</v>
      </c>
      <c r="E13">
        <f>'with tariffs'!E13-'without tariffs'!E13</f>
        <v>1.1091431373947025E-2</v>
      </c>
      <c r="F13">
        <f>'with tariffs'!F13-'without tariffs'!F13</f>
        <v>-0.286625035397434</v>
      </c>
      <c r="G13">
        <f>'with tariffs'!G13-'without tariffs'!G13</f>
        <v>-7.77882762060927E-3</v>
      </c>
      <c r="H13">
        <f>'with tariffs'!H13-'without tariffs'!H13</f>
        <v>2.3384389620764029E-3</v>
      </c>
      <c r="I13">
        <f>'with tariffs'!I13-'without tariffs'!I13</f>
        <v>6.5045568919388008E-2</v>
      </c>
      <c r="J13">
        <f>'with tariffs'!J13-'without tariffs'!J13</f>
        <v>2.07342358938981E-3</v>
      </c>
      <c r="K13">
        <f>'with tariffs'!K13-'without tariffs'!K13</f>
        <v>0.2022597188703163</v>
      </c>
      <c r="L13">
        <f>'with tariffs'!L13-'without tariffs'!L13</f>
        <v>-8.7797485917252005E-3</v>
      </c>
      <c r="M13">
        <f>'with tariffs'!M13-'without tariffs'!M13</f>
        <v>0</v>
      </c>
      <c r="N13">
        <f>'with tariffs'!N13-'without tariffs'!N13</f>
        <v>-9.4783565666223799E-4</v>
      </c>
      <c r="O13">
        <f>'with tariffs'!O13-'without tariffs'!O13</f>
        <v>0</v>
      </c>
      <c r="P13">
        <f>'with tariffs'!P13-'without tariffs'!P13</f>
        <v>5.1467490369183026E-4</v>
      </c>
      <c r="Q13">
        <f>'with tariffs'!Q13-'without tariffs'!Q13</f>
        <v>-2.7102981638610175E-3</v>
      </c>
      <c r="R13">
        <f>'with tariffs'!R13-'without tariffs'!R13</f>
        <v>-4.2774167293377005E-4</v>
      </c>
      <c r="S13">
        <f>'with tariffs'!S13-'without tariffs'!S13</f>
        <v>-4.4593098758099695E-3</v>
      </c>
      <c r="T13">
        <f>'with tariffs'!T13-'without tariffs'!T13</f>
        <v>-5.7632438734483028E-4</v>
      </c>
      <c r="U13">
        <f>'with tariffs'!U13-'without tariffs'!U13</f>
        <v>-1.8269051063989003E-3</v>
      </c>
      <c r="V13">
        <f>'with tariffs'!V13-'without tariffs'!V13</f>
        <v>-2.8982655941708001E-5</v>
      </c>
      <c r="W13">
        <f>'with tariffs'!W13-'without tariffs'!W13</f>
        <v>8.6396572973772012E-2</v>
      </c>
      <c r="X13">
        <f>'with tariffs'!X13-'without tariffs'!X13</f>
        <v>-2.308056572259503E-3</v>
      </c>
      <c r="Y13">
        <f>'with tariffs'!Y13-'without tariffs'!Y13</f>
        <v>0.90105116151201414</v>
      </c>
      <c r="Z13">
        <f>'with tariffs'!Z13-'without tariffs'!Z13</f>
        <v>-2.1490272782258998E-2</v>
      </c>
      <c r="AA13">
        <f>'with tariffs'!AA13-'without tariffs'!AA13</f>
        <v>-0.22390934449307101</v>
      </c>
      <c r="AB13">
        <f>'with tariffs'!AB13-'without tariffs'!AC13</f>
        <v>-0.260745078405064</v>
      </c>
      <c r="AC13">
        <f>'with tariffs'!AC13-'without tariffs'!AD13</f>
        <v>-3.7833465844862024E-2</v>
      </c>
      <c r="AD13">
        <f>'with tariffs'!AD13-'without tariffs'!AE13</f>
        <v>1.015246181952703</v>
      </c>
      <c r="AE13">
        <f>'with tariffs'!AE13-'without tariffs'!AF13</f>
        <v>1.5281114934217188</v>
      </c>
      <c r="AF13">
        <f>'with tariffs'!AF13-'without tariffs'!AG13</f>
        <v>-0.5217957846309651</v>
      </c>
    </row>
    <row r="14" spans="1:32" x14ac:dyDescent="0.35">
      <c r="A14" t="s">
        <v>45</v>
      </c>
      <c r="B14" t="s">
        <v>42</v>
      </c>
      <c r="C14">
        <v>0</v>
      </c>
      <c r="D14">
        <f>'with tariffs'!D14-'without tariffs'!D14</f>
        <v>6.4482308697422594E-2</v>
      </c>
      <c r="E14">
        <f>'with tariffs'!E14-'without tariffs'!E14</f>
        <v>-1.0213996149405019E-2</v>
      </c>
      <c r="F14">
        <f>'with tariffs'!F14-'without tariffs'!F14</f>
        <v>-0.234679228525532</v>
      </c>
      <c r="G14">
        <f>'with tariffs'!G14-'without tariffs'!G14</f>
        <v>-1.2892196269232992E-2</v>
      </c>
      <c r="H14">
        <f>'with tariffs'!H14-'without tariffs'!H14</f>
        <v>-5.0904145481609903E-3</v>
      </c>
      <c r="I14">
        <f>'with tariffs'!I14-'without tariffs'!I14</f>
        <v>0.17228211219063239</v>
      </c>
      <c r="J14">
        <f>'with tariffs'!J14-'without tariffs'!J14</f>
        <v>7.058676666782302E-4</v>
      </c>
      <c r="K14">
        <f>'with tariffs'!K14-'without tariffs'!K14</f>
        <v>-0.12801146724399148</v>
      </c>
      <c r="L14">
        <f>'with tariffs'!L14-'without tariffs'!L14</f>
        <v>4.005611278345899E-2</v>
      </c>
      <c r="M14">
        <f>'with tariffs'!M14-'without tariffs'!M14</f>
        <v>0</v>
      </c>
      <c r="N14">
        <f>'with tariffs'!N14-'without tariffs'!N14</f>
        <v>0</v>
      </c>
      <c r="O14">
        <f>'with tariffs'!O14-'without tariffs'!O14</f>
        <v>0</v>
      </c>
      <c r="P14">
        <f>'with tariffs'!P14-'without tariffs'!P14</f>
        <v>-9.7243654219060071E-4</v>
      </c>
      <c r="Q14">
        <f>'with tariffs'!Q14-'without tariffs'!Q14</f>
        <v>-6.9531851989100774E-4</v>
      </c>
      <c r="R14">
        <f>'with tariffs'!R14-'without tariffs'!R14</f>
        <v>5.8579679194418989E-4</v>
      </c>
      <c r="S14">
        <f>'with tariffs'!S14-'without tariffs'!S14</f>
        <v>-3.1284820114091498E-3</v>
      </c>
      <c r="T14">
        <f>'with tariffs'!T14-'without tariffs'!T14</f>
        <v>-6.9922559198005996E-4</v>
      </c>
      <c r="U14">
        <f>'with tariffs'!U14-'without tariffs'!U14</f>
        <v>-1.9619653823405997E-3</v>
      </c>
      <c r="V14">
        <f>'with tariffs'!V14-'without tariffs'!V14</f>
        <v>-4.9692988022856995E-5</v>
      </c>
      <c r="W14">
        <f>'with tariffs'!W14-'without tariffs'!W14</f>
        <v>1.6659185575034985E-2</v>
      </c>
      <c r="X14">
        <f>'with tariffs'!X14-'without tariffs'!X14</f>
        <v>2.5955082432814684E-2</v>
      </c>
      <c r="Y14">
        <f>'with tariffs'!Y14-'without tariffs'!Y14</f>
        <v>1.4150806410786809E-2</v>
      </c>
      <c r="Z14">
        <f>'with tariffs'!Z14-'without tariffs'!Z14</f>
        <v>4.0117506137231015E-2</v>
      </c>
      <c r="AA14">
        <f>'with tariffs'!AA14-'without tariffs'!AA14</f>
        <v>-7.9191134417468972E-2</v>
      </c>
      <c r="AB14">
        <f>'with tariffs'!AB14-'without tariffs'!AC14</f>
        <v>-0.26044225713983798</v>
      </c>
      <c r="AC14">
        <f>'with tariffs'!AC14-'without tariffs'!AD14</f>
        <v>-0.19929401750274503</v>
      </c>
      <c r="AD14">
        <f>'with tariffs'!AD14-'without tariffs'!AE14</f>
        <v>9.6082876963815983E-2</v>
      </c>
      <c r="AE14">
        <f>'with tariffs'!AE14-'without tariffs'!AF14</f>
        <v>-0.37385525107123224</v>
      </c>
      <c r="AF14">
        <f>'with tariffs'!AF14-'without tariffs'!AG14</f>
        <v>-0.63118032984350902</v>
      </c>
    </row>
    <row r="15" spans="1:32" x14ac:dyDescent="0.35">
      <c r="A15" t="s">
        <v>46</v>
      </c>
      <c r="B15" t="s">
        <v>42</v>
      </c>
      <c r="C15">
        <v>0</v>
      </c>
      <c r="D15">
        <f>'with tariffs'!D15-'without tariffs'!D15</f>
        <v>9.5334988035384705E-2</v>
      </c>
      <c r="E15">
        <f>'with tariffs'!E15-'without tariffs'!E15</f>
        <v>1.0811667298805006E-2</v>
      </c>
      <c r="F15">
        <f>'with tariffs'!F15-'without tariffs'!F15</f>
        <v>-0.25227615989607199</v>
      </c>
      <c r="G15">
        <f>'with tariffs'!G15-'without tariffs'!G15</f>
        <v>-1.1289302139998099E-2</v>
      </c>
      <c r="H15">
        <f>'with tariffs'!H15-'without tariffs'!H15</f>
        <v>-6.056446563104001E-3</v>
      </c>
      <c r="I15">
        <f>'with tariffs'!I15-'without tariffs'!I15</f>
        <v>0.12977427927622301</v>
      </c>
      <c r="J15">
        <f>'with tariffs'!J15-'without tariffs'!J15</f>
        <v>-1.7327781314989302E-3</v>
      </c>
      <c r="K15">
        <f>'with tariffs'!K15-'without tariffs'!K15</f>
        <v>-4.8438102823260804E-2</v>
      </c>
      <c r="L15">
        <f>'with tariffs'!L15-'without tariffs'!L15</f>
        <v>-1.1490716175845996E-4</v>
      </c>
      <c r="M15">
        <f>'with tariffs'!M15-'without tariffs'!M15</f>
        <v>0</v>
      </c>
      <c r="N15">
        <f>'with tariffs'!N15-'without tariffs'!N15</f>
        <v>0</v>
      </c>
      <c r="O15">
        <f>'with tariffs'!O15-'without tariffs'!O15</f>
        <v>0</v>
      </c>
      <c r="P15">
        <f>'with tariffs'!P15-'without tariffs'!P15</f>
        <v>-1.1245513776739499E-3</v>
      </c>
      <c r="Q15">
        <f>'with tariffs'!Q15-'without tariffs'!Q15</f>
        <v>-1.7556359850017847E-3</v>
      </c>
      <c r="R15">
        <f>'with tariffs'!R15-'without tariffs'!R15</f>
        <v>-2.5284418787570699E-3</v>
      </c>
      <c r="S15">
        <f>'with tariffs'!S15-'without tariffs'!S15</f>
        <v>-3.64169519287234E-3</v>
      </c>
      <c r="T15">
        <f>'with tariffs'!T15-'without tariffs'!T15</f>
        <v>-2.5610024336729302E-3</v>
      </c>
      <c r="U15">
        <f>'with tariffs'!U15-'without tariffs'!U15</f>
        <v>-6.989109772497901E-3</v>
      </c>
      <c r="V15">
        <f>'with tariffs'!V15-'without tariffs'!V15</f>
        <v>-5.4578174317830141E-6</v>
      </c>
      <c r="W15">
        <f>'with tariffs'!W15-'without tariffs'!W15</f>
        <v>5.3989792199205008E-2</v>
      </c>
      <c r="X15">
        <f>'with tariffs'!X15-'without tariffs'!X15</f>
        <v>1.2796003896306429E-2</v>
      </c>
      <c r="Y15">
        <f>'with tariffs'!Y15-'without tariffs'!Y15</f>
        <v>0.12017408458967699</v>
      </c>
      <c r="Z15">
        <f>'with tariffs'!Z15-'without tariffs'!Z15</f>
        <v>-1.4027429255487001E-2</v>
      </c>
      <c r="AA15">
        <f>'with tariffs'!AA15-'without tariffs'!AA15</f>
        <v>-0.14143268505937059</v>
      </c>
      <c r="AB15">
        <f>'with tariffs'!AB15-'without tariffs'!AC15</f>
        <v>-0.2420725003958232</v>
      </c>
      <c r="AC15">
        <f>'with tariffs'!AC15-'without tariffs'!AD15</f>
        <v>-5.6399007118737993E-2</v>
      </c>
      <c r="AD15">
        <f>'with tariffs'!AD15-'without tariffs'!AE15</f>
        <v>0.1917958783619205</v>
      </c>
      <c r="AE15">
        <f>'with tariffs'!AE15-'without tariffs'!AF15</f>
        <v>-0.76381983151950061</v>
      </c>
      <c r="AF15">
        <f>'with tariffs'!AF15-'without tariffs'!AG15</f>
        <v>-0.56202887917838495</v>
      </c>
    </row>
    <row r="16" spans="1:32" x14ac:dyDescent="0.35">
      <c r="A16" t="s">
        <v>47</v>
      </c>
      <c r="B16" t="s">
        <v>42</v>
      </c>
      <c r="C16">
        <v>0</v>
      </c>
      <c r="D16">
        <f>'with tariffs'!D16-'without tariffs'!D16</f>
        <v>-7.06867879711265E-2</v>
      </c>
      <c r="E16">
        <f>'with tariffs'!E16-'without tariffs'!E16</f>
        <v>4.2304129304329974E-3</v>
      </c>
      <c r="F16">
        <f>'with tariffs'!F16-'without tariffs'!F16</f>
        <v>-0.1194086116199384</v>
      </c>
      <c r="G16">
        <f>'with tariffs'!G16-'without tariffs'!G16</f>
        <v>8.7474579815889006E-3</v>
      </c>
      <c r="H16">
        <f>'with tariffs'!H16-'without tariffs'!H16</f>
        <v>-7.4305232705415003E-3</v>
      </c>
      <c r="I16">
        <f>'with tariffs'!I16-'without tariffs'!I16</f>
        <v>0.21533873755789759</v>
      </c>
      <c r="J16">
        <f>'with tariffs'!J16-'without tariffs'!J16</f>
        <v>-7.2566602811129609E-5</v>
      </c>
      <c r="K16">
        <f>'with tariffs'!K16-'without tariffs'!K16</f>
        <v>6.4750965068759991E-3</v>
      </c>
      <c r="L16">
        <f>'with tariffs'!L16-'without tariffs'!L16</f>
        <v>-9.1599785856883061E-4</v>
      </c>
      <c r="M16">
        <f>'with tariffs'!M16-'without tariffs'!M16</f>
        <v>0</v>
      </c>
      <c r="N16">
        <f>'with tariffs'!N16-'without tariffs'!N16</f>
        <v>0</v>
      </c>
      <c r="O16">
        <f>'with tariffs'!O16-'without tariffs'!O16</f>
        <v>0</v>
      </c>
      <c r="P16">
        <f>'with tariffs'!P16-'without tariffs'!P16</f>
        <v>-2.7237917891008295E-3</v>
      </c>
      <c r="Q16">
        <f>'with tariffs'!Q16-'without tariffs'!Q16</f>
        <v>-5.9598985228951013E-4</v>
      </c>
      <c r="R16">
        <f>'with tariffs'!R16-'without tariffs'!R16</f>
        <v>-5.4198095823999762E-6</v>
      </c>
      <c r="S16">
        <f>'with tariffs'!S16-'without tariffs'!S16</f>
        <v>-1.6979512403756801E-3</v>
      </c>
      <c r="T16">
        <f>'with tariffs'!T16-'without tariffs'!T16</f>
        <v>-1.3939709487524399E-3</v>
      </c>
      <c r="U16">
        <f>'with tariffs'!U16-'without tariffs'!U16</f>
        <v>-5.3541609360660027E-4</v>
      </c>
      <c r="V16">
        <f>'with tariffs'!V16-'without tariffs'!V16</f>
        <v>-6.4354106092569924E-6</v>
      </c>
      <c r="W16">
        <f>'with tariffs'!W16-'without tariffs'!W16</f>
        <v>8.7005088800570091E-3</v>
      </c>
      <c r="X16">
        <f>'with tariffs'!X16-'without tariffs'!X16</f>
        <v>-3.1751418916861297E-3</v>
      </c>
      <c r="Y16">
        <f>'with tariffs'!Y16-'without tariffs'!Y16</f>
        <v>-8.4714178710593988E-2</v>
      </c>
      <c r="Z16">
        <f>'with tariffs'!Z16-'without tariffs'!Z16</f>
        <v>1.8257803669899986E-2</v>
      </c>
      <c r="AA16">
        <f>'with tariffs'!AA16-'without tariffs'!AA16</f>
        <v>9.692048355716841E-2</v>
      </c>
      <c r="AB16">
        <f>'with tariffs'!AB16-'without tariffs'!AC16</f>
        <v>-0.19716666981103922</v>
      </c>
      <c r="AC16">
        <f>'with tariffs'!AC16-'without tariffs'!AD16</f>
        <v>0.1746693606267655</v>
      </c>
      <c r="AD16">
        <f>'with tariffs'!AD16-'without tariffs'!AE16</f>
        <v>0.26761398761869748</v>
      </c>
      <c r="AE16">
        <f>'with tariffs'!AE16-'without tariffs'!AF16</f>
        <v>-0.3271292015551629</v>
      </c>
      <c r="AF16">
        <f>'with tariffs'!AF16-'without tariffs'!AG16</f>
        <v>-0.471634968027909</v>
      </c>
    </row>
    <row r="17" spans="1:32" x14ac:dyDescent="0.35">
      <c r="A17" t="s">
        <v>48</v>
      </c>
      <c r="B17" t="s">
        <v>42</v>
      </c>
      <c r="C17">
        <v>0</v>
      </c>
      <c r="D17">
        <f>'with tariffs'!D17-'without tariffs'!D17</f>
        <v>4.6659689486035494E-2</v>
      </c>
      <c r="E17">
        <f>'with tariffs'!E17-'without tariffs'!E17</f>
        <v>-1.1528227024640986E-2</v>
      </c>
      <c r="F17">
        <f>'with tariffs'!F17-'without tariffs'!F17</f>
        <v>-0.26301651023566863</v>
      </c>
      <c r="G17">
        <f>'with tariffs'!G17-'without tariffs'!G17</f>
        <v>-5.7626679062022998E-3</v>
      </c>
      <c r="H17">
        <f>'with tariffs'!H17-'without tariffs'!H17</f>
        <v>-8.7381303503438063E-3</v>
      </c>
      <c r="I17">
        <f>'with tariffs'!I17-'without tariffs'!I17</f>
        <v>9.667114878187999E-2</v>
      </c>
      <c r="J17">
        <f>'with tariffs'!J17-'without tariffs'!J17</f>
        <v>9.0258497427204987E-4</v>
      </c>
      <c r="K17">
        <f>'with tariffs'!K17-'without tariffs'!K17</f>
        <v>-4.6751455126280012E-3</v>
      </c>
      <c r="L17">
        <f>'with tariffs'!L17-'without tariffs'!L17</f>
        <v>-2.1541640693300071E-4</v>
      </c>
      <c r="M17">
        <f>'with tariffs'!M17-'without tariffs'!M17</f>
        <v>0</v>
      </c>
      <c r="N17">
        <f>'with tariffs'!N17-'without tariffs'!N17</f>
        <v>0</v>
      </c>
      <c r="O17">
        <f>'with tariffs'!O17-'without tariffs'!O17</f>
        <v>0</v>
      </c>
      <c r="P17">
        <f>'with tariffs'!P17-'without tariffs'!P17</f>
        <v>-2.0256904385996671E-3</v>
      </c>
      <c r="Q17">
        <f>'with tariffs'!Q17-'without tariffs'!Q17</f>
        <v>4.3576362095560988E-4</v>
      </c>
      <c r="R17">
        <f>'with tariffs'!R17-'without tariffs'!R17</f>
        <v>-6.7094352016069904E-6</v>
      </c>
      <c r="S17">
        <f>'with tariffs'!S17-'without tariffs'!S17</f>
        <v>-3.3532746835541007E-4</v>
      </c>
      <c r="T17">
        <f>'with tariffs'!T17-'without tariffs'!T17</f>
        <v>-2.8796769143800004E-4</v>
      </c>
      <c r="U17">
        <f>'with tariffs'!U17-'without tariffs'!U17</f>
        <v>-1.9778339083379101E-3</v>
      </c>
      <c r="V17">
        <f>'with tariffs'!V17-'without tariffs'!V17</f>
        <v>-7.29597752658701E-6</v>
      </c>
      <c r="W17">
        <f>'with tariffs'!W17-'without tariffs'!W17</f>
        <v>1.8089193534819789E-2</v>
      </c>
      <c r="X17">
        <f>'with tariffs'!X17-'without tariffs'!X17</f>
        <v>-5.2598538015534704E-3</v>
      </c>
      <c r="Y17">
        <f>'with tariffs'!Y17-'without tariffs'!Y17</f>
        <v>4.5737753413493995E-2</v>
      </c>
      <c r="Z17">
        <f>'with tariffs'!Z17-'without tariffs'!Z17</f>
        <v>-1.0606290952099001E-2</v>
      </c>
      <c r="AA17">
        <f>'with tariffs'!AA17-'without tariffs'!AA17</f>
        <v>-0.18061960969427301</v>
      </c>
      <c r="AB17">
        <f>'with tariffs'!AB17-'without tariffs'!AC17</f>
        <v>-0.30401925890808601</v>
      </c>
      <c r="AC17">
        <f>'with tariffs'!AC17-'without tariffs'!AD17</f>
        <v>0.22255769620705523</v>
      </c>
      <c r="AD17">
        <f>'with tariffs'!AD17-'without tariffs'!AE17</f>
        <v>0.125451891932679</v>
      </c>
      <c r="AE17">
        <f>'with tariffs'!AE17-'without tariffs'!AF17</f>
        <v>-0.33806027150194495</v>
      </c>
      <c r="AF17">
        <f>'with tariffs'!AF17-'without tariffs'!AG17</f>
        <v>-0.40806946624748996</v>
      </c>
    </row>
    <row r="18" spans="1:32" x14ac:dyDescent="0.35">
      <c r="A18" t="s">
        <v>49</v>
      </c>
      <c r="B18" t="s">
        <v>42</v>
      </c>
      <c r="C18">
        <v>0</v>
      </c>
      <c r="D18">
        <f>'with tariffs'!D18-'without tariffs'!D18</f>
        <v>6.5453007062037329</v>
      </c>
      <c r="E18">
        <f>'with tariffs'!E18-'without tariffs'!E18</f>
        <v>10.750901392430819</v>
      </c>
      <c r="F18">
        <f>'with tariffs'!F18-'without tariffs'!F18</f>
        <v>-7.3308658435482492</v>
      </c>
      <c r="G18">
        <f>'with tariffs'!G18-'without tariffs'!G18</f>
        <v>-3.9551587394563383</v>
      </c>
      <c r="H18">
        <f>'with tariffs'!H18-'without tariffs'!H18</f>
        <v>-0.13376224991206409</v>
      </c>
      <c r="I18">
        <f>'with tariffs'!I18-'without tariffs'!I18</f>
        <v>1.076281905471234</v>
      </c>
      <c r="J18">
        <f>'with tariffs'!J18-'without tariffs'!J18</f>
        <v>-7.5407377477365728E-2</v>
      </c>
      <c r="K18">
        <f>'with tariffs'!K18-'without tariffs'!K18</f>
        <v>7.8090222671044707</v>
      </c>
      <c r="L18">
        <f>'with tariffs'!L18-'without tariffs'!L18</f>
        <v>0.69477540232180046</v>
      </c>
      <c r="M18">
        <f>'with tariffs'!M18-'without tariffs'!M18</f>
        <v>0</v>
      </c>
      <c r="N18">
        <f>'with tariffs'!N18-'without tariffs'!N18</f>
        <v>0</v>
      </c>
      <c r="O18">
        <f>'with tariffs'!O18-'without tariffs'!O18</f>
        <v>0</v>
      </c>
      <c r="P18">
        <f>'with tariffs'!P18-'without tariffs'!P18</f>
        <v>9.3386341575684914E-2</v>
      </c>
      <c r="Q18">
        <f>'with tariffs'!Q18-'without tariffs'!Q18</f>
        <v>7.5683211477424309E-2</v>
      </c>
      <c r="R18">
        <f>'with tariffs'!R18-'without tariffs'!R18</f>
        <v>-5.5974430030599973E-6</v>
      </c>
      <c r="S18">
        <f>'with tariffs'!S18-'without tariffs'!S18</f>
        <v>-1.5839658891790001E-5</v>
      </c>
      <c r="T18">
        <f>'with tariffs'!T18-'without tariffs'!T18</f>
        <v>-2.6415447922691982E-4</v>
      </c>
      <c r="U18">
        <f>'with tariffs'!U18-'without tariffs'!U18</f>
        <v>-3.5111840569893291E-2</v>
      </c>
      <c r="V18">
        <f>'with tariffs'!V18-'without tariffs'!V18</f>
        <v>-6.4932865394930976E-5</v>
      </c>
      <c r="W18">
        <f>'with tariffs'!W18-'without tariffs'!W18</f>
        <v>6.3120195349552288</v>
      </c>
      <c r="X18">
        <f>'with tariffs'!X18-'without tariffs'!X18</f>
        <v>1.0299771911818723</v>
      </c>
      <c r="Y18">
        <f>'with tariffs'!Y18-'without tariffs'!Y18</f>
        <v>8.0614388754534101</v>
      </c>
      <c r="Z18">
        <f>'with tariffs'!Z18-'without tariffs'!Z18</f>
        <v>9.2347632231811616</v>
      </c>
      <c r="AA18">
        <f>'with tariffs'!AA18-'without tariffs'!AA18</f>
        <v>-10.241512388714627</v>
      </c>
      <c r="AB18">
        <f>'with tariffs'!AB18-'without tariffs'!AC18</f>
        <v>16.643199483066098</v>
      </c>
      <c r="AC18">
        <f>'with tariffs'!AC18-'without tariffs'!AD18</f>
        <v>5.0544832998873073</v>
      </c>
      <c r="AD18">
        <f>'with tariffs'!AD18-'without tariffs'!AE18</f>
        <v>22.335456886463032</v>
      </c>
      <c r="AE18">
        <f>'with tariffs'!AE18-'without tariffs'!AF18</f>
        <v>5.3500000425160046</v>
      </c>
      <c r="AF18">
        <f>'with tariffs'!AF18-'without tariffs'!AG18</f>
        <v>-0.38017039926188512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without tariffs</vt:lpstr>
      <vt:lpstr>with tariffs</vt:lpstr>
      <vt:lpstr>diff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CParry</dc:creator>
  <cp:lastModifiedBy>Chase Parry</cp:lastModifiedBy>
  <dcterms:created xsi:type="dcterms:W3CDTF">2025-11-04T16:35:47Z</dcterms:created>
  <dcterms:modified xsi:type="dcterms:W3CDTF">2025-11-04T19:35:02Z</dcterms:modified>
</cp:coreProperties>
</file>