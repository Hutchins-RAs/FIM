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CParry\Downloads\FIM\results\10-2025\beta\"/>
    </mc:Choice>
  </mc:AlternateContent>
  <xr:revisionPtr revIDLastSave="0" documentId="13_ncr:1_{A8EEE577-A432-4AA5-B941-AB269674029E}" xr6:coauthVersionLast="47" xr6:coauthVersionMax="47" xr10:uidLastSave="{00000000-0000-0000-0000-000000000000}"/>
  <bookViews>
    <workbookView xWindow="15000" yWindow="-16200" windowWidth="14610" windowHeight="15585" xr2:uid="{00000000-000D-0000-FFFF-FFFF00000000}"/>
  </bookViews>
  <sheets>
    <sheet name="oct" sheetId="1" r:id="rId1"/>
    <sheet name="sep" sheetId="2" r:id="rId2"/>
    <sheet name="dif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3" l="1"/>
  <c r="F2" i="3"/>
  <c r="G2" i="3"/>
  <c r="H2" i="3"/>
  <c r="I2" i="3"/>
  <c r="J2" i="3"/>
  <c r="K2" i="3"/>
  <c r="L2" i="3"/>
  <c r="M2" i="3"/>
  <c r="N2" i="3"/>
  <c r="O2" i="3"/>
  <c r="P2" i="3"/>
  <c r="Q2" i="3"/>
  <c r="R2" i="3"/>
  <c r="S2" i="3"/>
  <c r="T2" i="3"/>
  <c r="U2" i="3"/>
  <c r="V2" i="3"/>
  <c r="W2" i="3"/>
  <c r="X2" i="3"/>
  <c r="Y2" i="3"/>
  <c r="Z2" i="3"/>
  <c r="AA2" i="3"/>
  <c r="AB2" i="3"/>
  <c r="AC2" i="3"/>
  <c r="AD2" i="3"/>
  <c r="AE2" i="3"/>
  <c r="AF2" i="3"/>
  <c r="E3" i="3"/>
  <c r="F3" i="3"/>
  <c r="G3" i="3"/>
  <c r="H3" i="3"/>
  <c r="I3" i="3"/>
  <c r="J3" i="3"/>
  <c r="K3" i="3"/>
  <c r="L3" i="3"/>
  <c r="M3" i="3"/>
  <c r="N3" i="3"/>
  <c r="O3" i="3"/>
  <c r="P3" i="3"/>
  <c r="Q3" i="3"/>
  <c r="R3" i="3"/>
  <c r="S3" i="3"/>
  <c r="T3" i="3"/>
  <c r="U3" i="3"/>
  <c r="V3" i="3"/>
  <c r="W3" i="3"/>
  <c r="X3" i="3"/>
  <c r="Y3" i="3"/>
  <c r="Z3" i="3"/>
  <c r="AA3" i="3"/>
  <c r="AB3" i="3"/>
  <c r="AC3" i="3"/>
  <c r="AD3" i="3"/>
  <c r="AE3" i="3"/>
  <c r="AF3" i="3"/>
  <c r="E4" i="3"/>
  <c r="F4" i="3"/>
  <c r="G4" i="3"/>
  <c r="H4" i="3"/>
  <c r="I4" i="3"/>
  <c r="J4" i="3"/>
  <c r="K4" i="3"/>
  <c r="L4" i="3"/>
  <c r="M4" i="3"/>
  <c r="N4" i="3"/>
  <c r="O4" i="3"/>
  <c r="P4" i="3"/>
  <c r="Q4" i="3"/>
  <c r="R4" i="3"/>
  <c r="S4" i="3"/>
  <c r="T4" i="3"/>
  <c r="U4" i="3"/>
  <c r="V4" i="3"/>
  <c r="W4" i="3"/>
  <c r="X4" i="3"/>
  <c r="Y4" i="3"/>
  <c r="Z4" i="3"/>
  <c r="AA4" i="3"/>
  <c r="AB4" i="3"/>
  <c r="AC4" i="3"/>
  <c r="AD4" i="3"/>
  <c r="AE4" i="3"/>
  <c r="AF4" i="3"/>
  <c r="E5" i="3"/>
  <c r="F5" i="3"/>
  <c r="G5" i="3"/>
  <c r="H5" i="3"/>
  <c r="I5" i="3"/>
  <c r="J5" i="3"/>
  <c r="K5" i="3"/>
  <c r="L5" i="3"/>
  <c r="M5" i="3"/>
  <c r="N5" i="3"/>
  <c r="O5" i="3"/>
  <c r="P5" i="3"/>
  <c r="Q5" i="3"/>
  <c r="R5" i="3"/>
  <c r="S5" i="3"/>
  <c r="T5" i="3"/>
  <c r="U5" i="3"/>
  <c r="V5" i="3"/>
  <c r="W5" i="3"/>
  <c r="X5" i="3"/>
  <c r="Y5" i="3"/>
  <c r="Z5" i="3"/>
  <c r="AA5" i="3"/>
  <c r="AB5" i="3"/>
  <c r="AC5" i="3"/>
  <c r="AD5" i="3"/>
  <c r="AE5" i="3"/>
  <c r="AF5" i="3"/>
  <c r="E6" i="3"/>
  <c r="F6" i="3"/>
  <c r="G6" i="3"/>
  <c r="H6" i="3"/>
  <c r="I6" i="3"/>
  <c r="J6" i="3"/>
  <c r="K6" i="3"/>
  <c r="L6" i="3"/>
  <c r="M6" i="3"/>
  <c r="N6" i="3"/>
  <c r="O6" i="3"/>
  <c r="P6" i="3"/>
  <c r="Q6" i="3"/>
  <c r="R6" i="3"/>
  <c r="S6" i="3"/>
  <c r="T6" i="3"/>
  <c r="U6" i="3"/>
  <c r="V6" i="3"/>
  <c r="W6" i="3"/>
  <c r="X6" i="3"/>
  <c r="Y6" i="3"/>
  <c r="Z6" i="3"/>
  <c r="AA6" i="3"/>
  <c r="AB6" i="3"/>
  <c r="AC6" i="3"/>
  <c r="AD6" i="3"/>
  <c r="AE6" i="3"/>
  <c r="AF6" i="3"/>
  <c r="E7" i="3"/>
  <c r="F7" i="3"/>
  <c r="G7" i="3"/>
  <c r="H7" i="3"/>
  <c r="I7" i="3"/>
  <c r="J7" i="3"/>
  <c r="K7" i="3"/>
  <c r="L7" i="3"/>
  <c r="M7" i="3"/>
  <c r="N7" i="3"/>
  <c r="O7" i="3"/>
  <c r="P7" i="3"/>
  <c r="Q7" i="3"/>
  <c r="R7" i="3"/>
  <c r="S7" i="3"/>
  <c r="T7" i="3"/>
  <c r="U7" i="3"/>
  <c r="V7" i="3"/>
  <c r="W7" i="3"/>
  <c r="X7" i="3"/>
  <c r="Y7" i="3"/>
  <c r="Z7" i="3"/>
  <c r="AA7" i="3"/>
  <c r="AB7" i="3"/>
  <c r="AC7" i="3"/>
  <c r="AD7" i="3"/>
  <c r="AE7" i="3"/>
  <c r="AF7" i="3"/>
  <c r="E8" i="3"/>
  <c r="F8" i="3"/>
  <c r="G8" i="3"/>
  <c r="H8" i="3"/>
  <c r="I8" i="3"/>
  <c r="J8" i="3"/>
  <c r="K8" i="3"/>
  <c r="L8" i="3"/>
  <c r="M8" i="3"/>
  <c r="N8" i="3"/>
  <c r="O8" i="3"/>
  <c r="P8" i="3"/>
  <c r="Q8" i="3"/>
  <c r="R8" i="3"/>
  <c r="S8" i="3"/>
  <c r="T8" i="3"/>
  <c r="U8" i="3"/>
  <c r="V8" i="3"/>
  <c r="W8" i="3"/>
  <c r="X8" i="3"/>
  <c r="Y8" i="3"/>
  <c r="Z8" i="3"/>
  <c r="AA8" i="3"/>
  <c r="AB8" i="3"/>
  <c r="AC8" i="3"/>
  <c r="AD8" i="3"/>
  <c r="AE8" i="3"/>
  <c r="AF8" i="3"/>
  <c r="E9" i="3"/>
  <c r="F9" i="3"/>
  <c r="G9" i="3"/>
  <c r="H9" i="3"/>
  <c r="I9" i="3"/>
  <c r="J9" i="3"/>
  <c r="K9" i="3"/>
  <c r="L9" i="3"/>
  <c r="M9" i="3"/>
  <c r="N9" i="3"/>
  <c r="O9" i="3"/>
  <c r="P9" i="3"/>
  <c r="Q9" i="3"/>
  <c r="R9" i="3"/>
  <c r="S9" i="3"/>
  <c r="T9" i="3"/>
  <c r="U9" i="3"/>
  <c r="V9" i="3"/>
  <c r="W9" i="3"/>
  <c r="X9" i="3"/>
  <c r="Y9" i="3"/>
  <c r="Z9" i="3"/>
  <c r="AA9" i="3"/>
  <c r="AB9" i="3"/>
  <c r="AC9" i="3"/>
  <c r="AD9" i="3"/>
  <c r="AE9" i="3"/>
  <c r="AF9" i="3"/>
  <c r="E10" i="3"/>
  <c r="F10" i="3"/>
  <c r="G10" i="3"/>
  <c r="H10" i="3"/>
  <c r="I10" i="3"/>
  <c r="J10" i="3"/>
  <c r="K10" i="3"/>
  <c r="L10" i="3"/>
  <c r="M10" i="3"/>
  <c r="N10" i="3"/>
  <c r="O10" i="3"/>
  <c r="P10" i="3"/>
  <c r="Q10" i="3"/>
  <c r="R10" i="3"/>
  <c r="S10" i="3"/>
  <c r="T10" i="3"/>
  <c r="U10" i="3"/>
  <c r="V10" i="3"/>
  <c r="W10" i="3"/>
  <c r="X10" i="3"/>
  <c r="Y10" i="3"/>
  <c r="Z10" i="3"/>
  <c r="AA10" i="3"/>
  <c r="AB10" i="3"/>
  <c r="AC10" i="3"/>
  <c r="AD10" i="3"/>
  <c r="AE10" i="3"/>
  <c r="AF10" i="3"/>
  <c r="E11" i="3"/>
  <c r="F11" i="3"/>
  <c r="G11" i="3"/>
  <c r="H11" i="3"/>
  <c r="I11" i="3"/>
  <c r="J11" i="3"/>
  <c r="K11" i="3"/>
  <c r="L11" i="3"/>
  <c r="M11" i="3"/>
  <c r="N11" i="3"/>
  <c r="O11" i="3"/>
  <c r="P11" i="3"/>
  <c r="Q11" i="3"/>
  <c r="R11" i="3"/>
  <c r="S11" i="3"/>
  <c r="T11" i="3"/>
  <c r="U11" i="3"/>
  <c r="V11" i="3"/>
  <c r="W11" i="3"/>
  <c r="X11" i="3"/>
  <c r="Y11" i="3"/>
  <c r="Z11" i="3"/>
  <c r="AA11" i="3"/>
  <c r="AB11" i="3"/>
  <c r="AC11" i="3"/>
  <c r="AD11" i="3"/>
  <c r="AE11" i="3"/>
  <c r="AF11" i="3"/>
  <c r="E12" i="3"/>
  <c r="F12" i="3"/>
  <c r="G12" i="3"/>
  <c r="H12" i="3"/>
  <c r="I12" i="3"/>
  <c r="J12" i="3"/>
  <c r="K12" i="3"/>
  <c r="L12" i="3"/>
  <c r="M12" i="3"/>
  <c r="N12" i="3"/>
  <c r="O12" i="3"/>
  <c r="P12" i="3"/>
  <c r="Q12" i="3"/>
  <c r="R12" i="3"/>
  <c r="S12" i="3"/>
  <c r="T12" i="3"/>
  <c r="U12" i="3"/>
  <c r="V12" i="3"/>
  <c r="W12" i="3"/>
  <c r="X12" i="3"/>
  <c r="Y12" i="3"/>
  <c r="Z12" i="3"/>
  <c r="AA12" i="3"/>
  <c r="AB12" i="3"/>
  <c r="AC12" i="3"/>
  <c r="AD12" i="3"/>
  <c r="AE12" i="3"/>
  <c r="AF12" i="3"/>
  <c r="E13" i="3"/>
  <c r="F13" i="3"/>
  <c r="G13" i="3"/>
  <c r="H13" i="3"/>
  <c r="I13" i="3"/>
  <c r="J13" i="3"/>
  <c r="K13" i="3"/>
  <c r="L13" i="3"/>
  <c r="M13" i="3"/>
  <c r="N13" i="3"/>
  <c r="O13" i="3"/>
  <c r="P13" i="3"/>
  <c r="Q13" i="3"/>
  <c r="R13" i="3"/>
  <c r="S13" i="3"/>
  <c r="T13" i="3"/>
  <c r="U13" i="3"/>
  <c r="V13" i="3"/>
  <c r="W13" i="3"/>
  <c r="X13" i="3"/>
  <c r="Y13" i="3"/>
  <c r="Z13" i="3"/>
  <c r="AA13" i="3"/>
  <c r="AB13" i="3"/>
  <c r="AC13" i="3"/>
  <c r="AD13" i="3"/>
  <c r="AE13" i="3"/>
  <c r="AF13" i="3"/>
  <c r="E14" i="3"/>
  <c r="F14" i="3"/>
  <c r="G14" i="3"/>
  <c r="H14" i="3"/>
  <c r="I14" i="3"/>
  <c r="J14" i="3"/>
  <c r="K14" i="3"/>
  <c r="L14" i="3"/>
  <c r="M14" i="3"/>
  <c r="N14" i="3"/>
  <c r="O14" i="3"/>
  <c r="P14" i="3"/>
  <c r="Q14" i="3"/>
  <c r="R14" i="3"/>
  <c r="S14" i="3"/>
  <c r="T14" i="3"/>
  <c r="U14" i="3"/>
  <c r="V14" i="3"/>
  <c r="W14" i="3"/>
  <c r="X14" i="3"/>
  <c r="Y14" i="3"/>
  <c r="Z14" i="3"/>
  <c r="AA14" i="3"/>
  <c r="AB14" i="3"/>
  <c r="AC14" i="3"/>
  <c r="AD14" i="3"/>
  <c r="AE14" i="3"/>
  <c r="AF14" i="3"/>
  <c r="E15" i="3"/>
  <c r="F15" i="3"/>
  <c r="G15" i="3"/>
  <c r="H15" i="3"/>
  <c r="I15" i="3"/>
  <c r="J15" i="3"/>
  <c r="K15" i="3"/>
  <c r="L15" i="3"/>
  <c r="M15" i="3"/>
  <c r="N15" i="3"/>
  <c r="O15" i="3"/>
  <c r="P15" i="3"/>
  <c r="Q15" i="3"/>
  <c r="R15" i="3"/>
  <c r="S15" i="3"/>
  <c r="T15" i="3"/>
  <c r="U15" i="3"/>
  <c r="V15" i="3"/>
  <c r="W15" i="3"/>
  <c r="X15" i="3"/>
  <c r="Y15" i="3"/>
  <c r="Z15" i="3"/>
  <c r="AA15" i="3"/>
  <c r="AB15" i="3"/>
  <c r="AC15" i="3"/>
  <c r="AD15" i="3"/>
  <c r="AE15" i="3"/>
  <c r="AF15" i="3"/>
  <c r="E16" i="3"/>
  <c r="F16" i="3"/>
  <c r="G16" i="3"/>
  <c r="H16" i="3"/>
  <c r="I16" i="3"/>
  <c r="J16" i="3"/>
  <c r="K16" i="3"/>
  <c r="L16" i="3"/>
  <c r="M16" i="3"/>
  <c r="N16" i="3"/>
  <c r="O16" i="3"/>
  <c r="P16" i="3"/>
  <c r="Q16" i="3"/>
  <c r="R16" i="3"/>
  <c r="S16" i="3"/>
  <c r="T16" i="3"/>
  <c r="U16" i="3"/>
  <c r="V16" i="3"/>
  <c r="W16" i="3"/>
  <c r="X16" i="3"/>
  <c r="Y16" i="3"/>
  <c r="Z16" i="3"/>
  <c r="AA16" i="3"/>
  <c r="AB16" i="3"/>
  <c r="AC16" i="3"/>
  <c r="AD16" i="3"/>
  <c r="AE16" i="3"/>
  <c r="AF16" i="3"/>
  <c r="E17" i="3"/>
  <c r="F17" i="3"/>
  <c r="G17" i="3"/>
  <c r="H17" i="3"/>
  <c r="I17" i="3"/>
  <c r="J17" i="3"/>
  <c r="K17" i="3"/>
  <c r="L17" i="3"/>
  <c r="M17" i="3"/>
  <c r="N17" i="3"/>
  <c r="O17" i="3"/>
  <c r="P17" i="3"/>
  <c r="Q17" i="3"/>
  <c r="R17" i="3"/>
  <c r="S17" i="3"/>
  <c r="T17" i="3"/>
  <c r="U17" i="3"/>
  <c r="V17" i="3"/>
  <c r="W17" i="3"/>
  <c r="X17" i="3"/>
  <c r="Y17" i="3"/>
  <c r="Z17" i="3"/>
  <c r="AA17" i="3"/>
  <c r="AB17" i="3"/>
  <c r="AC17" i="3"/>
  <c r="AD17" i="3"/>
  <c r="AE17" i="3"/>
  <c r="AF17" i="3"/>
  <c r="E18" i="3"/>
  <c r="F18" i="3"/>
  <c r="G18" i="3"/>
  <c r="H18" i="3"/>
  <c r="I18" i="3"/>
  <c r="J18" i="3"/>
  <c r="K18" i="3"/>
  <c r="L18" i="3"/>
  <c r="M18" i="3"/>
  <c r="N18" i="3"/>
  <c r="O18" i="3"/>
  <c r="P18" i="3"/>
  <c r="Q18" i="3"/>
  <c r="R18" i="3"/>
  <c r="S18" i="3"/>
  <c r="T18" i="3"/>
  <c r="U18" i="3"/>
  <c r="V18" i="3"/>
  <c r="W18" i="3"/>
  <c r="X18" i="3"/>
  <c r="Y18" i="3"/>
  <c r="Z18" i="3"/>
  <c r="AA18" i="3"/>
  <c r="AB18" i="3"/>
  <c r="AC18" i="3"/>
  <c r="AD18" i="3"/>
  <c r="AE18" i="3"/>
  <c r="AF18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2" i="3"/>
  <c r="AB18" i="2"/>
  <c r="AB17" i="2"/>
  <c r="AB16" i="2"/>
  <c r="AB15" i="2"/>
  <c r="AB14" i="2"/>
  <c r="AB13" i="2"/>
  <c r="AB12" i="2"/>
  <c r="AB11" i="2"/>
  <c r="AB10" i="2"/>
  <c r="AB9" i="2"/>
  <c r="AB8" i="2"/>
  <c r="AB7" i="2"/>
  <c r="AB6" i="2"/>
  <c r="AB5" i="2"/>
  <c r="AB4" i="2"/>
  <c r="AB3" i="2"/>
  <c r="AB2" i="2"/>
  <c r="AB3" i="1"/>
  <c r="AB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2" i="1"/>
</calcChain>
</file>

<file path=xl/sharedStrings.xml><?xml version="1.0" encoding="utf-8"?>
<sst xmlns="http://schemas.openxmlformats.org/spreadsheetml/2006/main" count="199" uniqueCount="52">
  <si>
    <t>date</t>
  </si>
  <si>
    <t>id</t>
  </si>
  <si>
    <t>recession</t>
  </si>
  <si>
    <t>federal_purchases_contribution</t>
  </si>
  <si>
    <t>state_purchases_contribution</t>
  </si>
  <si>
    <t>federal_non_corporate_taxes_contribution</t>
  </si>
  <si>
    <t>state_non_corporate_taxes_contribution</t>
  </si>
  <si>
    <t>federal_corporate_taxes_contribution</t>
  </si>
  <si>
    <t>supply_side_ira_contribution</t>
  </si>
  <si>
    <t>state_corporate_taxes_contribution</t>
  </si>
  <si>
    <t>federal_social_benefits_contribution</t>
  </si>
  <si>
    <t>state_social_benefits_contribution</t>
  </si>
  <si>
    <t>rebate_checks_contribution</t>
  </si>
  <si>
    <t>rebate_checks_arp_contribution</t>
  </si>
  <si>
    <t>federal_ui_contribution</t>
  </si>
  <si>
    <t>state_ui_contribution</t>
  </si>
  <si>
    <t>federal_subsidies_contribution</t>
  </si>
  <si>
    <t>federal_aid_to_small_businesses_arp_contribution</t>
  </si>
  <si>
    <t>federal_other_direct_aid_arp_contribution</t>
  </si>
  <si>
    <t>federal_other_vulnerable_arp_contribution</t>
  </si>
  <si>
    <t>federal_student_loans_contribution</t>
  </si>
  <si>
    <t>state_subsidies_contribution</t>
  </si>
  <si>
    <t>federal_health_outlays_contribution</t>
  </si>
  <si>
    <t>state_health_outlays_contribution</t>
  </si>
  <si>
    <t>federal_contribution</t>
  </si>
  <si>
    <t>state_contribution</t>
  </si>
  <si>
    <t>taxes_contribution</t>
  </si>
  <si>
    <t>transfers_contribution</t>
  </si>
  <si>
    <t>consumption_contribution</t>
  </si>
  <si>
    <t>fiscal_impact_measure</t>
  </si>
  <si>
    <t>fiscal_impact_4q_ma</t>
  </si>
  <si>
    <t>2023 Q2</t>
  </si>
  <si>
    <t>historical</t>
  </si>
  <si>
    <t>2023 Q3</t>
  </si>
  <si>
    <t>2023 Q4</t>
  </si>
  <si>
    <t>2024 Q1</t>
  </si>
  <si>
    <t>2024 Q2</t>
  </si>
  <si>
    <t>2024 Q3</t>
  </si>
  <si>
    <t>2024 Q4</t>
  </si>
  <si>
    <t>2025 Q1</t>
  </si>
  <si>
    <t>2025 Q2</t>
  </si>
  <si>
    <t>2025 Q3</t>
  </si>
  <si>
    <t>projection</t>
  </si>
  <si>
    <t>2025 Q4</t>
  </si>
  <si>
    <t>2026 Q1</t>
  </si>
  <si>
    <t>2026 Q2</t>
  </si>
  <si>
    <t>2026 Q3</t>
  </si>
  <si>
    <t>2026 Q4</t>
  </si>
  <si>
    <t>2027 Q1</t>
  </si>
  <si>
    <t>2027 Q2</t>
  </si>
  <si>
    <t>taxes less ira</t>
  </si>
  <si>
    <t>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</si>
</sst>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8"/>
  <sheetViews>
    <sheetView tabSelected="1" topLeftCell="V1" workbookViewId="0">
      <selection activeCell="AD20" sqref="AD20"/>
    </sheetView>
  </sheetViews>
  <sheetFormatPr defaultColWidth="10.90625" defaultRowHeight="14.5" x14ac:dyDescent="0.35"/>
  <sheetData>
    <row r="1" spans="1:32" s="1" customFormat="1" ht="72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50</v>
      </c>
      <c r="AC1" s="1" t="s">
        <v>27</v>
      </c>
      <c r="AD1" s="1" t="s">
        <v>28</v>
      </c>
      <c r="AE1" s="1" t="s">
        <v>29</v>
      </c>
      <c r="AF1" s="1" t="s">
        <v>30</v>
      </c>
    </row>
    <row r="2" spans="1:32" x14ac:dyDescent="0.35">
      <c r="A2" t="s">
        <v>31</v>
      </c>
      <c r="B2" t="s">
        <v>32</v>
      </c>
      <c r="C2">
        <v>-1</v>
      </c>
      <c r="D2">
        <v>-0.14802611157274501</v>
      </c>
      <c r="E2">
        <v>0.32935983920596001</v>
      </c>
      <c r="F2">
        <v>0.40168306970290102</v>
      </c>
      <c r="G2">
        <v>0.18603734505634201</v>
      </c>
      <c r="H2">
        <v>-8.21940867312759E-2</v>
      </c>
      <c r="I2">
        <v>0.235358292343292</v>
      </c>
      <c r="J2">
        <v>-4.1113771969934799E-2</v>
      </c>
      <c r="K2">
        <v>-0.110305489658881</v>
      </c>
      <c r="L2">
        <v>-3.9292216707090502E-2</v>
      </c>
      <c r="M2">
        <v>-0.250812072873001</v>
      </c>
      <c r="N2">
        <v>-0.42408041297215698</v>
      </c>
      <c r="O2">
        <v>-0.28390642327914301</v>
      </c>
      <c r="P2">
        <v>2.09480010861266E-2</v>
      </c>
      <c r="Q2">
        <v>-0.36373095377918202</v>
      </c>
      <c r="R2">
        <v>5.0505984440364898E-4</v>
      </c>
      <c r="S2">
        <v>-4.1864783224422601E-2</v>
      </c>
      <c r="T2">
        <v>-9.6126641659024806E-2</v>
      </c>
      <c r="U2">
        <v>-8.0992848567109695E-3</v>
      </c>
      <c r="V2">
        <v>-8.9153330195928897E-4</v>
      </c>
      <c r="W2">
        <v>0.171036490137769</v>
      </c>
      <c r="X2">
        <v>0.10677013991119801</v>
      </c>
      <c r="Y2">
        <v>-0.23313551122967099</v>
      </c>
      <c r="Z2">
        <v>0.414469238862886</v>
      </c>
      <c r="AA2">
        <v>0.69855452970050502</v>
      </c>
      <c r="AB2" s="2">
        <f>AA2-I2</f>
        <v>0.46319623735721305</v>
      </c>
      <c r="AC2">
        <v>-1.32629278524743</v>
      </c>
      <c r="AD2">
        <v>-0.61796280604048204</v>
      </c>
      <c r="AE2">
        <v>-0.436629078407267</v>
      </c>
      <c r="AF2">
        <v>-0.83627524630429895</v>
      </c>
    </row>
    <row r="3" spans="1:32" x14ac:dyDescent="0.35">
      <c r="A3" t="s">
        <v>33</v>
      </c>
      <c r="B3" t="s">
        <v>32</v>
      </c>
      <c r="C3">
        <v>-1</v>
      </c>
      <c r="D3">
        <v>0.29138772747964098</v>
      </c>
      <c r="E3">
        <v>0.20751042016384599</v>
      </c>
      <c r="F3">
        <v>0.113357457258702</v>
      </c>
      <c r="G3">
        <v>9.7716048972668196E-2</v>
      </c>
      <c r="H3">
        <v>-5.91532101359378E-2</v>
      </c>
      <c r="I3">
        <v>0.23102780499548001</v>
      </c>
      <c r="J3">
        <v>-3.3405652214011802E-2</v>
      </c>
      <c r="K3">
        <v>-3.5337896134434499E-2</v>
      </c>
      <c r="L3">
        <v>-9.7526156234725395E-2</v>
      </c>
      <c r="M3">
        <v>-3.3451247097991299E-2</v>
      </c>
      <c r="N3">
        <v>-7.7388778211201796E-3</v>
      </c>
      <c r="O3">
        <v>-0.13051736587268001</v>
      </c>
      <c r="P3">
        <v>4.4718452819064197E-2</v>
      </c>
      <c r="Q3">
        <v>-0.37795184928776498</v>
      </c>
      <c r="R3">
        <v>5.950273560484E-4</v>
      </c>
      <c r="S3">
        <v>-2.6783451026086001E-2</v>
      </c>
      <c r="T3">
        <v>-9.6213710590928994E-2</v>
      </c>
      <c r="U3">
        <v>-0.13797271237506301</v>
      </c>
      <c r="V3">
        <v>-6.5844159084846603E-5</v>
      </c>
      <c r="W3">
        <v>-8.0930364752975201E-2</v>
      </c>
      <c r="X3">
        <v>0.246367721831767</v>
      </c>
      <c r="Y3">
        <v>-0.13834317705567301</v>
      </c>
      <c r="Z3">
        <v>0.63724132469915995</v>
      </c>
      <c r="AA3">
        <v>0.34932404438449699</v>
      </c>
      <c r="AB3" s="2">
        <f t="shared" ref="AB3:AB18" si="0">AA3-I3</f>
        <v>0.11829623938901698</v>
      </c>
      <c r="AC3">
        <v>-0.73419659789214797</v>
      </c>
      <c r="AD3">
        <v>-0.38219863522876701</v>
      </c>
      <c r="AE3">
        <v>0.116699512414719</v>
      </c>
      <c r="AF3">
        <v>-0.206163355339544</v>
      </c>
    </row>
    <row r="4" spans="1:32" x14ac:dyDescent="0.35">
      <c r="A4" t="s">
        <v>34</v>
      </c>
      <c r="B4" t="s">
        <v>32</v>
      </c>
      <c r="C4">
        <v>-1</v>
      </c>
      <c r="D4">
        <v>7.0409518749265695E-2</v>
      </c>
      <c r="E4">
        <v>0.334563146011224</v>
      </c>
      <c r="F4">
        <v>8.4390722113830099E-2</v>
      </c>
      <c r="G4">
        <v>5.2044238372703902E-2</v>
      </c>
      <c r="H4">
        <v>-7.1699905905479602E-2</v>
      </c>
      <c r="I4">
        <v>8.2750407381655997E-2</v>
      </c>
      <c r="J4">
        <v>-3.7624014205788599E-2</v>
      </c>
      <c r="K4">
        <v>-0.20119765322797301</v>
      </c>
      <c r="L4">
        <v>-0.25248892574124898</v>
      </c>
      <c r="M4">
        <v>0</v>
      </c>
      <c r="N4">
        <v>-6.2254865808341201E-3</v>
      </c>
      <c r="O4">
        <v>-7.4273918697488001E-3</v>
      </c>
      <c r="P4">
        <v>2.51765765432529E-2</v>
      </c>
      <c r="Q4">
        <v>-0.16467395034127</v>
      </c>
      <c r="R4">
        <v>-5.7101380587429003E-3</v>
      </c>
      <c r="S4">
        <v>-2.6574551007999901E-2</v>
      </c>
      <c r="T4">
        <v>-9.6631639124960103E-2</v>
      </c>
      <c r="U4">
        <v>-0.112668281418978</v>
      </c>
      <c r="V4">
        <v>-4.64375413991062E-5</v>
      </c>
      <c r="W4">
        <v>5.7480661108821697E-2</v>
      </c>
      <c r="X4">
        <v>7.3497892891865396E-2</v>
      </c>
      <c r="Y4">
        <v>0.28189703895139501</v>
      </c>
      <c r="Z4">
        <v>0.12307562580909499</v>
      </c>
      <c r="AA4">
        <v>0.109920446431576</v>
      </c>
      <c r="AB4" s="2">
        <f t="shared" si="0"/>
        <v>2.7170039049920006E-2</v>
      </c>
      <c r="AC4">
        <v>-0.71934747789901798</v>
      </c>
      <c r="AD4">
        <v>-0.60859101476916899</v>
      </c>
      <c r="AE4">
        <v>-0.20361835000867901</v>
      </c>
      <c r="AF4">
        <v>-0.15496258918560801</v>
      </c>
    </row>
    <row r="5" spans="1:32" x14ac:dyDescent="0.35">
      <c r="A5" t="s">
        <v>35</v>
      </c>
      <c r="B5" t="s">
        <v>32</v>
      </c>
      <c r="C5">
        <v>-1</v>
      </c>
      <c r="D5">
        <v>-9.5656904722252106E-2</v>
      </c>
      <c r="E5">
        <v>9.6940855523302893E-2</v>
      </c>
      <c r="F5">
        <v>0.49002857232950098</v>
      </c>
      <c r="G5">
        <v>0.208391135077172</v>
      </c>
      <c r="H5">
        <v>-6.0391933673744902E-2</v>
      </c>
      <c r="I5">
        <v>0.127323007835629</v>
      </c>
      <c r="J5">
        <v>-3.1435768777114702E-2</v>
      </c>
      <c r="K5">
        <v>-1.5431334318346699E-2</v>
      </c>
      <c r="L5">
        <v>-2.4236114768831401E-2</v>
      </c>
      <c r="M5">
        <v>0</v>
      </c>
      <c r="N5">
        <v>-0.1116771169521</v>
      </c>
      <c r="O5">
        <v>-1.4130478598766601E-3</v>
      </c>
      <c r="P5">
        <v>1.48527177757743E-2</v>
      </c>
      <c r="Q5">
        <v>-0.147876796119602</v>
      </c>
      <c r="R5">
        <v>-6.5334557705919397E-3</v>
      </c>
      <c r="S5">
        <v>-3.7491897544000202E-2</v>
      </c>
      <c r="T5">
        <v>-6.3307767234083601E-2</v>
      </c>
      <c r="U5">
        <v>-0.104470891080262</v>
      </c>
      <c r="V5">
        <v>-5.8359649790091399E-4</v>
      </c>
      <c r="W5">
        <v>-0.139181652755761</v>
      </c>
      <c r="X5">
        <v>0.13055531739648699</v>
      </c>
      <c r="Y5">
        <v>-0.141987561627687</v>
      </c>
      <c r="Z5">
        <v>0.14327151242873801</v>
      </c>
      <c r="AA5">
        <v>0.73267847772514905</v>
      </c>
      <c r="AB5" s="2">
        <f t="shared" si="0"/>
        <v>0.60535546988952005</v>
      </c>
      <c r="AC5">
        <v>-0.50768403721561195</v>
      </c>
      <c r="AD5">
        <v>0.228917102365608</v>
      </c>
      <c r="AE5">
        <v>0.23020105316665901</v>
      </c>
      <c r="AF5">
        <v>-7.33367157086416E-2</v>
      </c>
    </row>
    <row r="6" spans="1:32" x14ac:dyDescent="0.35">
      <c r="A6" t="s">
        <v>36</v>
      </c>
      <c r="B6" t="s">
        <v>32</v>
      </c>
      <c r="C6">
        <v>-1</v>
      </c>
      <c r="D6">
        <v>0.12347864355657601</v>
      </c>
      <c r="E6">
        <v>5.1398582782936103E-2</v>
      </c>
      <c r="F6">
        <v>0.350634639232693</v>
      </c>
      <c r="G6">
        <v>0.18132833289649899</v>
      </c>
      <c r="H6">
        <v>-4.6919376760871503E-2</v>
      </c>
      <c r="I6">
        <v>9.4528726965219897E-2</v>
      </c>
      <c r="J6">
        <v>-2.2967963618569998E-2</v>
      </c>
      <c r="K6">
        <v>0.17944505351008599</v>
      </c>
      <c r="L6">
        <v>2.0341748838583099E-2</v>
      </c>
      <c r="M6">
        <v>0</v>
      </c>
      <c r="N6">
        <v>-0.104667995470671</v>
      </c>
      <c r="O6">
        <v>-6.71988407316382E-4</v>
      </c>
      <c r="P6">
        <v>1.2605510376570201E-2</v>
      </c>
      <c r="Q6">
        <v>-0.34619775619210402</v>
      </c>
      <c r="R6">
        <v>-1.6772231715069301E-2</v>
      </c>
      <c r="S6">
        <v>-3.5908570943400497E-2</v>
      </c>
      <c r="T6">
        <v>-5.0238210637218797E-2</v>
      </c>
      <c r="U6">
        <v>-9.6103418388998496E-2</v>
      </c>
      <c r="V6">
        <v>-2.1619606193804901E-3</v>
      </c>
      <c r="W6">
        <v>-0.10798661114378599</v>
      </c>
      <c r="X6">
        <v>0.112651604454477</v>
      </c>
      <c r="Y6">
        <v>0.19183196160476301</v>
      </c>
      <c r="Z6">
        <v>-1.6954735265250501E-2</v>
      </c>
      <c r="AA6">
        <v>0.55586415360289798</v>
      </c>
      <c r="AB6" s="2">
        <f t="shared" si="0"/>
        <v>0.46133542663767807</v>
      </c>
      <c r="AC6">
        <v>-0.435603111701512</v>
      </c>
      <c r="AD6">
        <v>0.122777318364768</v>
      </c>
      <c r="AE6">
        <v>0.29765454470427999</v>
      </c>
      <c r="AF6">
        <v>0.11023419006924499</v>
      </c>
    </row>
    <row r="7" spans="1:32" x14ac:dyDescent="0.35">
      <c r="A7" t="s">
        <v>37</v>
      </c>
      <c r="B7" t="s">
        <v>32</v>
      </c>
      <c r="C7">
        <v>-1</v>
      </c>
      <c r="D7">
        <v>0.40650570357638799</v>
      </c>
      <c r="E7">
        <v>0.136691698568599</v>
      </c>
      <c r="F7">
        <v>0.26769889286291498</v>
      </c>
      <c r="G7">
        <v>2.1497719565335398E-2</v>
      </c>
      <c r="H7">
        <v>-4.3703023830997202E-2</v>
      </c>
      <c r="I7">
        <v>-9.5365599689748198E-2</v>
      </c>
      <c r="J7">
        <v>-1.250579938059E-2</v>
      </c>
      <c r="K7">
        <v>0.262851861848517</v>
      </c>
      <c r="L7">
        <v>4.9653197595397103E-2</v>
      </c>
      <c r="M7">
        <v>0</v>
      </c>
      <c r="N7">
        <v>-0.100405578542052</v>
      </c>
      <c r="O7">
        <v>-3.3408506757194801E-4</v>
      </c>
      <c r="P7">
        <v>1.04559636480671E-2</v>
      </c>
      <c r="Q7">
        <v>-0.30976776467698602</v>
      </c>
      <c r="R7">
        <v>-6.6690089586276202E-2</v>
      </c>
      <c r="S7">
        <v>-3.4038325524147602E-2</v>
      </c>
      <c r="T7">
        <v>-4.3936535393618102E-2</v>
      </c>
      <c r="U7">
        <v>-5.5729672642463098E-2</v>
      </c>
      <c r="V7">
        <v>-4.4268524616808E-5</v>
      </c>
      <c r="W7">
        <v>0.20674711777249699</v>
      </c>
      <c r="X7">
        <v>4.4619556639790899E-2</v>
      </c>
      <c r="Y7">
        <v>0.63577579400065898</v>
      </c>
      <c r="Z7">
        <v>-9.2578391855672001E-2</v>
      </c>
      <c r="AA7">
        <v>0.13795910196057001</v>
      </c>
      <c r="AB7" s="2">
        <f t="shared" si="0"/>
        <v>0.23332470165031821</v>
      </c>
      <c r="AC7">
        <v>-3.5405604657315098E-2</v>
      </c>
      <c r="AD7">
        <v>0.102604629247405</v>
      </c>
      <c r="AE7">
        <v>0.64580203139239201</v>
      </c>
      <c r="AF7">
        <v>0.24250981981366301</v>
      </c>
    </row>
    <row r="8" spans="1:32" x14ac:dyDescent="0.35">
      <c r="A8" t="s">
        <v>38</v>
      </c>
      <c r="B8" t="s">
        <v>32</v>
      </c>
      <c r="C8">
        <v>-1</v>
      </c>
      <c r="D8">
        <v>0.133873781721287</v>
      </c>
      <c r="E8">
        <v>4.0840032414223203E-2</v>
      </c>
      <c r="F8">
        <v>0.26578106401662999</v>
      </c>
      <c r="G8">
        <v>2.9094858618363102E-2</v>
      </c>
      <c r="H8">
        <v>-3.4339266354473298E-2</v>
      </c>
      <c r="I8">
        <v>-0.133729009875071</v>
      </c>
      <c r="J8">
        <v>1.13690102002034E-2</v>
      </c>
      <c r="K8">
        <v>0.27225397073088298</v>
      </c>
      <c r="L8">
        <v>1.6960520897413001E-2</v>
      </c>
      <c r="M8">
        <v>0</v>
      </c>
      <c r="N8">
        <v>-0.10036426676492601</v>
      </c>
      <c r="O8">
        <v>-1.7257240165849299E-4</v>
      </c>
      <c r="P8">
        <v>5.7762572067887397E-3</v>
      </c>
      <c r="Q8">
        <v>-0.15458604468813</v>
      </c>
      <c r="R8">
        <v>-2.9046972423239802E-2</v>
      </c>
      <c r="S8">
        <v>-2.2294995129037001E-2</v>
      </c>
      <c r="T8">
        <v>-2.6522516209101999E-2</v>
      </c>
      <c r="U8">
        <v>-3.0672088360098701E-2</v>
      </c>
      <c r="V8">
        <v>-5.5553434027490802E-5</v>
      </c>
      <c r="W8">
        <v>0.14998115565769099</v>
      </c>
      <c r="X8">
        <v>0.15091666254341701</v>
      </c>
      <c r="Y8">
        <v>0.152548376323595</v>
      </c>
      <c r="Z8">
        <v>2.2165437811915399E-2</v>
      </c>
      <c r="AA8">
        <v>0.13854798222895001</v>
      </c>
      <c r="AB8" s="2">
        <f t="shared" si="0"/>
        <v>0.27227699210402101</v>
      </c>
      <c r="AC8">
        <v>0.23270567166299999</v>
      </c>
      <c r="AD8">
        <v>0.37091899841143999</v>
      </c>
      <c r="AE8">
        <v>0.54563281254694995</v>
      </c>
      <c r="AF8">
        <v>0.42982261045257097</v>
      </c>
    </row>
    <row r="9" spans="1:32" x14ac:dyDescent="0.35">
      <c r="A9" t="s">
        <v>39</v>
      </c>
      <c r="B9" t="s">
        <v>32</v>
      </c>
      <c r="C9">
        <v>-1</v>
      </c>
      <c r="D9">
        <v>-0.51945344220673595</v>
      </c>
      <c r="E9">
        <v>-3.6329068795956501E-2</v>
      </c>
      <c r="F9">
        <v>-6.8923507981179702E-2</v>
      </c>
      <c r="G9">
        <v>4.5824279035484701E-2</v>
      </c>
      <c r="H9">
        <v>-4.2648201337320401E-3</v>
      </c>
      <c r="I9">
        <v>2.4851299983382799E-2</v>
      </c>
      <c r="J9">
        <v>1.3575618265951101E-2</v>
      </c>
      <c r="K9">
        <v>0.18178302235421301</v>
      </c>
      <c r="L9">
        <v>-8.9342834717323107E-3</v>
      </c>
      <c r="M9">
        <v>0</v>
      </c>
      <c r="N9">
        <v>-9.6865948504741201E-2</v>
      </c>
      <c r="O9">
        <v>0</v>
      </c>
      <c r="P9">
        <v>4.4613387682665602E-4</v>
      </c>
      <c r="Q9">
        <v>-7.3745275639246904E-2</v>
      </c>
      <c r="R9">
        <v>-2.81145842287071E-2</v>
      </c>
      <c r="S9">
        <v>-1.4963859323346399E-2</v>
      </c>
      <c r="T9">
        <v>-1.06082419539028E-2</v>
      </c>
      <c r="U9">
        <v>-3.0099482833375799E-2</v>
      </c>
      <c r="V9">
        <v>-3.0217362087457E-4</v>
      </c>
      <c r="W9">
        <v>0.103999770504797</v>
      </c>
      <c r="X9">
        <v>2.61260701306016E-3</v>
      </c>
      <c r="Y9">
        <v>-1.16995132804385</v>
      </c>
      <c r="Z9">
        <v>0.614168817041161</v>
      </c>
      <c r="AA9">
        <v>1.11027166496448E-2</v>
      </c>
      <c r="AB9" s="2">
        <f t="shared" si="0"/>
        <v>-1.3748583333737999E-2</v>
      </c>
      <c r="AC9">
        <v>2.5525593403408701E-2</v>
      </c>
      <c r="AD9">
        <v>3.6625316518402701E-2</v>
      </c>
      <c r="AE9">
        <v>-0.51915719448428999</v>
      </c>
      <c r="AF9">
        <v>0.24248304853983299</v>
      </c>
    </row>
    <row r="10" spans="1:32" x14ac:dyDescent="0.35">
      <c r="A10" t="s">
        <v>40</v>
      </c>
      <c r="B10" t="s">
        <v>32</v>
      </c>
      <c r="C10">
        <v>-1</v>
      </c>
      <c r="D10">
        <v>-0.49659070787292697</v>
      </c>
      <c r="E10">
        <v>9.0506589373416602E-2</v>
      </c>
      <c r="F10">
        <v>-0.49360351627841198</v>
      </c>
      <c r="G10">
        <v>-3.9331912203167403E-2</v>
      </c>
      <c r="H10">
        <v>7.0579943690931299E-3</v>
      </c>
      <c r="I10">
        <v>0.187169199391747</v>
      </c>
      <c r="J10">
        <v>1.9233387701995601E-3</v>
      </c>
      <c r="K10">
        <v>0.46724310870124203</v>
      </c>
      <c r="L10">
        <v>-1.45027864177198E-2</v>
      </c>
      <c r="M10">
        <v>0</v>
      </c>
      <c r="N10">
        <v>-9.4949894815243602E-2</v>
      </c>
      <c r="O10">
        <v>0</v>
      </c>
      <c r="P10">
        <v>1.8247773810152401E-3</v>
      </c>
      <c r="Q10">
        <v>-9.49991988352311E-2</v>
      </c>
      <c r="R10">
        <v>-2.6737310243037899E-2</v>
      </c>
      <c r="S10">
        <v>-1.3483429468480799E-2</v>
      </c>
      <c r="T10">
        <v>-1.00208283497742E-2</v>
      </c>
      <c r="U10">
        <v>-2.3738219379538301E-2</v>
      </c>
      <c r="V10">
        <v>-1.03804464936561E-3</v>
      </c>
      <c r="W10">
        <v>0.285016460293538</v>
      </c>
      <c r="X10">
        <v>-2.99527412765348E-2</v>
      </c>
      <c r="Y10">
        <v>-0.94596316734547603</v>
      </c>
      <c r="Z10">
        <v>0.53987904884596605</v>
      </c>
      <c r="AA10">
        <v>-0.33591118113824903</v>
      </c>
      <c r="AB10" s="2">
        <f t="shared" si="0"/>
        <v>-0.52308038052999606</v>
      </c>
      <c r="AC10">
        <v>0.44530218131426502</v>
      </c>
      <c r="AD10">
        <v>-0.189041894533449</v>
      </c>
      <c r="AE10">
        <v>-0.59512601303295898</v>
      </c>
      <c r="AF10">
        <v>1.92879091055238E-2</v>
      </c>
    </row>
    <row r="11" spans="1:32" x14ac:dyDescent="0.35">
      <c r="A11" t="s">
        <v>41</v>
      </c>
      <c r="B11" t="s">
        <v>42</v>
      </c>
      <c r="C11">
        <v>0</v>
      </c>
      <c r="D11">
        <v>1.83533240147938E-3</v>
      </c>
      <c r="E11">
        <v>-0.18895750920943799</v>
      </c>
      <c r="F11">
        <v>-0.225617648258191</v>
      </c>
      <c r="G11">
        <v>3.1964415242308503E-2</v>
      </c>
      <c r="H11">
        <v>0.18570531800002099</v>
      </c>
      <c r="I11">
        <v>0.11283214357551299</v>
      </c>
      <c r="J11">
        <v>6.9886573575032003E-3</v>
      </c>
      <c r="K11">
        <v>0.26976939094510399</v>
      </c>
      <c r="L11">
        <v>-2.4409454094093301E-4</v>
      </c>
      <c r="M11">
        <v>0</v>
      </c>
      <c r="N11">
        <v>-9.9896093511049611E-4</v>
      </c>
      <c r="O11">
        <v>0</v>
      </c>
      <c r="P11">
        <v>-8.3673707460128807E-3</v>
      </c>
      <c r="Q11">
        <v>-7.46265037458759E-2</v>
      </c>
      <c r="R11">
        <v>-2.6048206028168701E-2</v>
      </c>
      <c r="S11">
        <v>-1.38103838239934E-2</v>
      </c>
      <c r="T11">
        <v>-8.5423386433022899E-3</v>
      </c>
      <c r="U11">
        <v>-2.9638323362874801E-2</v>
      </c>
      <c r="V11">
        <v>-5.2655433301352999E-4</v>
      </c>
      <c r="W11">
        <v>0.22450059422556301</v>
      </c>
      <c r="X11">
        <v>1.9343238159436999E-3</v>
      </c>
      <c r="Y11">
        <v>-5.0493882615879802E-2</v>
      </c>
      <c r="Z11">
        <v>-0.136628294192079</v>
      </c>
      <c r="AA11">
        <v>0.112330310625844</v>
      </c>
      <c r="AB11" s="2">
        <f t="shared" si="0"/>
        <v>-5.0183294966898995E-4</v>
      </c>
      <c r="AC11">
        <v>0.333503920049117</v>
      </c>
      <c r="AD11">
        <v>0.145437851515373</v>
      </c>
      <c r="AE11">
        <v>-4.16843252925862E-2</v>
      </c>
      <c r="AF11">
        <v>-0.15258368006572101</v>
      </c>
    </row>
    <row r="12" spans="1:32" x14ac:dyDescent="0.35">
      <c r="A12" t="s">
        <v>43</v>
      </c>
      <c r="B12" t="s">
        <v>42</v>
      </c>
      <c r="C12">
        <v>0</v>
      </c>
      <c r="D12">
        <v>-0.40818665265298099</v>
      </c>
      <c r="E12">
        <v>-0.18797856990234901</v>
      </c>
      <c r="F12">
        <v>-0.18376482299076699</v>
      </c>
      <c r="G12">
        <v>1.2855036336618801E-2</v>
      </c>
      <c r="H12">
        <v>6.5942042814213703E-2</v>
      </c>
      <c r="I12">
        <v>0.14035275365848901</v>
      </c>
      <c r="J12">
        <v>9.6981954247357793E-3</v>
      </c>
      <c r="K12">
        <v>0.21821118449858201</v>
      </c>
      <c r="L12">
        <v>2.68155371055342E-2</v>
      </c>
      <c r="M12">
        <v>0</v>
      </c>
      <c r="N12">
        <v>-9.7192310751689304E-4</v>
      </c>
      <c r="O12">
        <v>0</v>
      </c>
      <c r="P12">
        <v>-7.7753445618424198E-3</v>
      </c>
      <c r="Q12">
        <v>-3.6283497165518701E-2</v>
      </c>
      <c r="R12">
        <v>-3.9026383613157399E-3</v>
      </c>
      <c r="S12">
        <v>-1.28548485299851E-2</v>
      </c>
      <c r="T12">
        <v>-7.6754748377312098E-3</v>
      </c>
      <c r="U12">
        <v>-2.4548492152382501E-2</v>
      </c>
      <c r="V12">
        <v>-4.45468017451337E-4</v>
      </c>
      <c r="W12">
        <v>0.22947080428754399</v>
      </c>
      <c r="X12">
        <v>2.0152617978004699E-2</v>
      </c>
      <c r="Y12">
        <v>-0.51253608394316297</v>
      </c>
      <c r="Z12">
        <v>-8.3629138612166795E-2</v>
      </c>
      <c r="AA12">
        <v>4.53797114197389E-2</v>
      </c>
      <c r="AB12" s="2">
        <f t="shared" si="0"/>
        <v>-9.4973042238750111E-2</v>
      </c>
      <c r="AC12">
        <v>0.39989251289800798</v>
      </c>
      <c r="AD12">
        <v>-0.75492012874145298</v>
      </c>
      <c r="AE12">
        <v>-1.35108535129678</v>
      </c>
      <c r="AF12">
        <v>-0.62676322102665405</v>
      </c>
    </row>
    <row r="13" spans="1:32" x14ac:dyDescent="0.35">
      <c r="A13" t="s">
        <v>44</v>
      </c>
      <c r="B13" t="s">
        <v>42</v>
      </c>
      <c r="C13">
        <v>0</v>
      </c>
      <c r="D13">
        <v>0.89353248872401803</v>
      </c>
      <c r="E13">
        <v>-0.18679326743754099</v>
      </c>
      <c r="F13">
        <v>-0.157889086807043</v>
      </c>
      <c r="G13">
        <v>-5.17525296486206E-3</v>
      </c>
      <c r="H13">
        <v>6.3538307727449006E-2</v>
      </c>
      <c r="I13">
        <v>0.313882330011445</v>
      </c>
      <c r="J13">
        <v>6.5070205318474104E-3</v>
      </c>
      <c r="K13">
        <v>0.150319148575252</v>
      </c>
      <c r="L13">
        <v>4.0643938098240899E-2</v>
      </c>
      <c r="M13">
        <v>0</v>
      </c>
      <c r="N13">
        <v>-9.4783565666223799E-4</v>
      </c>
      <c r="O13">
        <v>0</v>
      </c>
      <c r="P13">
        <v>-7.1485207788222101E-3</v>
      </c>
      <c r="Q13">
        <v>-2.8042467224146102E-3</v>
      </c>
      <c r="R13">
        <v>-2.66767452900793E-3</v>
      </c>
      <c r="S13">
        <v>-1.4294821389197999E-2</v>
      </c>
      <c r="T13">
        <v>-7.0418371850735403E-3</v>
      </c>
      <c r="U13">
        <v>-2.2803875892856401E-2</v>
      </c>
      <c r="V13">
        <v>-4.11448413644342E-4</v>
      </c>
      <c r="W13">
        <v>0.27300490883686801</v>
      </c>
      <c r="X13">
        <v>2.93317054991943E-2</v>
      </c>
      <c r="Y13">
        <v>0.84183310640180797</v>
      </c>
      <c r="Z13">
        <v>-0.13509388511533099</v>
      </c>
      <c r="AA13">
        <v>0.22128179875224799</v>
      </c>
      <c r="AB13" s="2">
        <f t="shared" si="0"/>
        <v>-9.2600531259197011E-2</v>
      </c>
      <c r="AC13">
        <v>0.43470650007238398</v>
      </c>
      <c r="AD13">
        <v>1.31496448042667</v>
      </c>
      <c r="AE13">
        <v>2.0217037017131498</v>
      </c>
      <c r="AF13">
        <v>8.4520030227058507E-3</v>
      </c>
    </row>
    <row r="14" spans="1:32" x14ac:dyDescent="0.35">
      <c r="A14" t="s">
        <v>45</v>
      </c>
      <c r="B14" t="s">
        <v>42</v>
      </c>
      <c r="C14">
        <v>0</v>
      </c>
      <c r="D14">
        <v>2.5063031368209299E-2</v>
      </c>
      <c r="E14">
        <v>-0.19788469881148801</v>
      </c>
      <c r="F14">
        <v>-0.108594546287687</v>
      </c>
      <c r="G14">
        <v>2.60357465574721E-3</v>
      </c>
      <c r="H14">
        <v>6.1199868765372603E-2</v>
      </c>
      <c r="I14">
        <v>0.24883676109205699</v>
      </c>
      <c r="J14">
        <v>4.4335969424576004E-3</v>
      </c>
      <c r="K14">
        <v>-5.1940570295064298E-2</v>
      </c>
      <c r="L14">
        <v>4.94236866899661E-2</v>
      </c>
      <c r="M14">
        <v>0</v>
      </c>
      <c r="N14">
        <v>0</v>
      </c>
      <c r="O14">
        <v>0</v>
      </c>
      <c r="P14">
        <v>-7.6631956825140403E-3</v>
      </c>
      <c r="Q14">
        <v>-9.3948558553592703E-5</v>
      </c>
      <c r="R14">
        <v>-2.2399328560741599E-3</v>
      </c>
      <c r="S14">
        <v>-9.8355115133880299E-3</v>
      </c>
      <c r="T14">
        <v>-6.46551279772871E-3</v>
      </c>
      <c r="U14">
        <v>-2.0976970786457501E-2</v>
      </c>
      <c r="V14">
        <v>-3.82465757702634E-4</v>
      </c>
      <c r="W14">
        <v>0.186608335863096</v>
      </c>
      <c r="X14">
        <v>3.1639762071453803E-2</v>
      </c>
      <c r="Y14">
        <v>-5.9218055110206197E-2</v>
      </c>
      <c r="Z14">
        <v>-0.11360361233307199</v>
      </c>
      <c r="AA14">
        <v>0.20865971156872001</v>
      </c>
      <c r="AB14" s="2">
        <f t="shared" si="0"/>
        <v>-4.0177049523336977E-2</v>
      </c>
      <c r="AC14">
        <v>0.16814454714586699</v>
      </c>
      <c r="AD14">
        <v>0.23643146162113099</v>
      </c>
      <c r="AE14">
        <v>6.3609794177852799E-2</v>
      </c>
      <c r="AF14">
        <v>0.173135954825409</v>
      </c>
    </row>
    <row r="15" spans="1:32" x14ac:dyDescent="0.35">
      <c r="A15" t="s">
        <v>46</v>
      </c>
      <c r="B15" t="s">
        <v>42</v>
      </c>
      <c r="C15">
        <v>0</v>
      </c>
      <c r="D15">
        <v>-3.9419277329213298E-2</v>
      </c>
      <c r="E15">
        <v>-0.18767070266208299</v>
      </c>
      <c r="F15">
        <v>-0.107081655066805</v>
      </c>
      <c r="G15">
        <v>1.5495770924980201E-2</v>
      </c>
      <c r="H15">
        <v>6.6290283313533593E-2</v>
      </c>
      <c r="I15">
        <v>7.6554648901424605E-2</v>
      </c>
      <c r="J15">
        <v>3.7277292757793702E-3</v>
      </c>
      <c r="K15">
        <v>7.60708969489272E-2</v>
      </c>
      <c r="L15">
        <v>9.3675739065071095E-3</v>
      </c>
      <c r="M15">
        <v>0</v>
      </c>
      <c r="N15">
        <v>0</v>
      </c>
      <c r="O15">
        <v>0</v>
      </c>
      <c r="P15">
        <v>-6.6907591403234396E-3</v>
      </c>
      <c r="Q15">
        <v>6.0136996133741498E-4</v>
      </c>
      <c r="R15">
        <v>-2.8257296480183498E-3</v>
      </c>
      <c r="S15">
        <v>-6.7070295019788801E-3</v>
      </c>
      <c r="T15">
        <v>-5.76628720574865E-3</v>
      </c>
      <c r="U15">
        <v>-1.9015005404116901E-2</v>
      </c>
      <c r="V15">
        <v>-3.32772769679777E-4</v>
      </c>
      <c r="W15">
        <v>0.16994915028806101</v>
      </c>
      <c r="X15">
        <v>5.6846796386391197E-3</v>
      </c>
      <c r="Y15">
        <v>-7.3368861520993006E-2</v>
      </c>
      <c r="Z15">
        <v>-0.15372111847030301</v>
      </c>
      <c r="AA15">
        <v>5.5087851799672398E-2</v>
      </c>
      <c r="AB15" s="2">
        <f t="shared" si="0"/>
        <v>-2.1466797101752207E-2</v>
      </c>
      <c r="AC15">
        <v>0.22026520761650101</v>
      </c>
      <c r="AD15">
        <v>0.13522345777167399</v>
      </c>
      <c r="AE15">
        <v>-9.1866522219622701E-2</v>
      </c>
      <c r="AF15">
        <v>0.16059040559365001</v>
      </c>
    </row>
    <row r="16" spans="1:32" x14ac:dyDescent="0.35">
      <c r="A16" t="s">
        <v>47</v>
      </c>
      <c r="B16" t="s">
        <v>42</v>
      </c>
      <c r="C16">
        <v>0</v>
      </c>
      <c r="D16">
        <v>-0.134754265364598</v>
      </c>
      <c r="E16">
        <v>-0.198482369960888</v>
      </c>
      <c r="F16">
        <v>-8.53676104400794E-2</v>
      </c>
      <c r="G16">
        <v>2.67850730649783E-2</v>
      </c>
      <c r="H16">
        <v>7.2346729876637594E-2</v>
      </c>
      <c r="I16">
        <v>-5.3219630374798398E-2</v>
      </c>
      <c r="J16">
        <v>5.4605074072783004E-3</v>
      </c>
      <c r="K16">
        <v>0.124508999772188</v>
      </c>
      <c r="L16">
        <v>9.4824810682655695E-3</v>
      </c>
      <c r="M16">
        <v>0</v>
      </c>
      <c r="N16">
        <v>0</v>
      </c>
      <c r="O16">
        <v>0</v>
      </c>
      <c r="P16">
        <v>-5.5662077626494897E-3</v>
      </c>
      <c r="Q16">
        <v>2.3570059463391998E-3</v>
      </c>
      <c r="R16">
        <v>-2.9728776926127998E-4</v>
      </c>
      <c r="S16">
        <v>-3.0653343091065401E-3</v>
      </c>
      <c r="T16">
        <v>-3.2052847720757198E-3</v>
      </c>
      <c r="U16">
        <v>-1.2025895631619E-2</v>
      </c>
      <c r="V16">
        <v>-3.2731495224799399E-4</v>
      </c>
      <c r="W16">
        <v>0.115959358088856</v>
      </c>
      <c r="X16">
        <v>-7.1113242576673098E-3</v>
      </c>
      <c r="Y16">
        <v>-0.19354294611066999</v>
      </c>
      <c r="Z16">
        <v>-0.13969368921481601</v>
      </c>
      <c r="AA16">
        <v>-3.3915336615843603E-2</v>
      </c>
      <c r="AB16" s="2">
        <f t="shared" si="0"/>
        <v>1.9304293758954795E-2</v>
      </c>
      <c r="AC16">
        <v>0.220605703294071</v>
      </c>
      <c r="AD16">
        <v>4.67700700012115E-2</v>
      </c>
      <c r="AE16">
        <v>-0.286466565324275</v>
      </c>
      <c r="AF16">
        <v>0.42674510208677702</v>
      </c>
    </row>
    <row r="17" spans="1:32" x14ac:dyDescent="0.35">
      <c r="A17" t="s">
        <v>48</v>
      </c>
      <c r="B17" t="s">
        <v>42</v>
      </c>
      <c r="C17">
        <v>0</v>
      </c>
      <c r="D17">
        <v>-6.4067477393471503E-2</v>
      </c>
      <c r="E17">
        <v>-0.202712782891321</v>
      </c>
      <c r="F17">
        <v>-0.194568075207978</v>
      </c>
      <c r="G17">
        <v>1.8037615083389399E-2</v>
      </c>
      <c r="H17">
        <v>7.9777253147179095E-2</v>
      </c>
      <c r="I17">
        <v>-0.268558367932696</v>
      </c>
      <c r="J17">
        <v>5.53307401008943E-3</v>
      </c>
      <c r="K17">
        <v>0.118033903265312</v>
      </c>
      <c r="L17">
        <v>1.03984789268344E-2</v>
      </c>
      <c r="M17">
        <v>0</v>
      </c>
      <c r="N17">
        <v>0</v>
      </c>
      <c r="O17">
        <v>0</v>
      </c>
      <c r="P17">
        <v>-2.8424159735486601E-3</v>
      </c>
      <c r="Q17">
        <v>2.95299579862871E-3</v>
      </c>
      <c r="R17">
        <v>-2.9186795967888E-4</v>
      </c>
      <c r="S17">
        <v>-1.36738306873086E-3</v>
      </c>
      <c r="T17">
        <v>-1.8113138233232799E-3</v>
      </c>
      <c r="U17">
        <v>-1.14904795380124E-2</v>
      </c>
      <c r="V17">
        <v>-3.20879541638737E-4</v>
      </c>
      <c r="W17">
        <v>0.107258849208799</v>
      </c>
      <c r="X17">
        <v>-3.9361823659811801E-3</v>
      </c>
      <c r="Y17">
        <v>-0.10882876740007601</v>
      </c>
      <c r="Z17">
        <v>-0.15795149288471599</v>
      </c>
      <c r="AA17">
        <v>-0.35984559837077401</v>
      </c>
      <c r="AB17" s="2">
        <f t="shared" si="0"/>
        <v>-9.1287230438078015E-2</v>
      </c>
      <c r="AC17">
        <v>0.21647096356999401</v>
      </c>
      <c r="AD17">
        <v>-0.18254656345056899</v>
      </c>
      <c r="AE17">
        <v>-0.44932682373536098</v>
      </c>
      <c r="AF17">
        <v>-0.19101252927535101</v>
      </c>
    </row>
    <row r="18" spans="1:32" x14ac:dyDescent="0.35">
      <c r="A18" t="s">
        <v>49</v>
      </c>
      <c r="B18" t="s">
        <v>42</v>
      </c>
      <c r="C18">
        <v>0</v>
      </c>
      <c r="D18">
        <v>-0.110727166879507</v>
      </c>
      <c r="E18">
        <v>-0.19118455586668001</v>
      </c>
      <c r="F18">
        <v>-2.9836760326829598E-2</v>
      </c>
      <c r="G18">
        <v>2.3800282989591699E-2</v>
      </c>
      <c r="H18">
        <v>8.8515383497522901E-2</v>
      </c>
      <c r="I18">
        <v>-0.36522951671457599</v>
      </c>
      <c r="J18">
        <v>4.6304890358173801E-3</v>
      </c>
      <c r="K18">
        <v>0.12270904877794001</v>
      </c>
      <c r="L18">
        <v>1.0613895333767401E-2</v>
      </c>
      <c r="M18">
        <v>0</v>
      </c>
      <c r="N18">
        <v>0</v>
      </c>
      <c r="O18">
        <v>0</v>
      </c>
      <c r="P18">
        <v>-8.1672553494899301E-4</v>
      </c>
      <c r="Q18">
        <v>2.5172321776731001E-3</v>
      </c>
      <c r="R18">
        <v>-2.8515852447727301E-4</v>
      </c>
      <c r="S18">
        <v>-1.0320556003754499E-3</v>
      </c>
      <c r="T18">
        <v>-1.5233461318852799E-3</v>
      </c>
      <c r="U18">
        <v>-9.5126456296744898E-3</v>
      </c>
      <c r="V18">
        <v>-3.1358356411214999E-4</v>
      </c>
      <c r="W18">
        <v>8.9169655673979206E-2</v>
      </c>
      <c r="X18">
        <v>1.32367143557229E-3</v>
      </c>
      <c r="Y18">
        <v>-0.15456652081357</v>
      </c>
      <c r="Z18">
        <v>-0.14734520193261699</v>
      </c>
      <c r="AA18">
        <v>-0.27777126123557599</v>
      </c>
      <c r="AB18" s="2">
        <f t="shared" si="0"/>
        <v>8.7458255478999991E-2</v>
      </c>
      <c r="AC18">
        <v>0.21273202847000799</v>
      </c>
      <c r="AD18">
        <v>-0.104408206335068</v>
      </c>
      <c r="AE18">
        <v>-0.40631992908125503</v>
      </c>
      <c r="AF18">
        <v>-0.308494960090128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8D66F-9A84-4992-ABDF-A5744B9A727C}">
  <dimension ref="A1:AF18"/>
  <sheetViews>
    <sheetView workbookViewId="0">
      <selection sqref="A1:XFD1048576"/>
    </sheetView>
  </sheetViews>
  <sheetFormatPr defaultColWidth="10.90625" defaultRowHeight="14.5" x14ac:dyDescent="0.35"/>
  <sheetData>
    <row r="1" spans="1:32" s="1" customFormat="1" ht="72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50</v>
      </c>
      <c r="AC1" s="1" t="s">
        <v>27</v>
      </c>
      <c r="AD1" s="1" t="s">
        <v>28</v>
      </c>
      <c r="AE1" s="1" t="s">
        <v>29</v>
      </c>
      <c r="AF1" s="1" t="s">
        <v>30</v>
      </c>
    </row>
    <row r="2" spans="1:32" x14ac:dyDescent="0.35">
      <c r="A2" t="s">
        <v>31</v>
      </c>
      <c r="B2" t="s">
        <v>32</v>
      </c>
      <c r="C2">
        <v>-1</v>
      </c>
      <c r="D2">
        <v>-0.14802611157274501</v>
      </c>
      <c r="E2">
        <v>0.32935983920596001</v>
      </c>
      <c r="F2">
        <v>0.40168306970290102</v>
      </c>
      <c r="G2">
        <v>0.18603734505634201</v>
      </c>
      <c r="H2">
        <v>-8.21940867312759E-2</v>
      </c>
      <c r="I2">
        <v>0.235358292343292</v>
      </c>
      <c r="J2">
        <v>-4.1113771969934799E-2</v>
      </c>
      <c r="K2">
        <v>-0.110305489658881</v>
      </c>
      <c r="L2">
        <v>-3.9292216707090502E-2</v>
      </c>
      <c r="M2">
        <v>-0.250812072873001</v>
      </c>
      <c r="N2">
        <v>-0.42408041297215698</v>
      </c>
      <c r="O2">
        <v>-0.28390642327914301</v>
      </c>
      <c r="P2">
        <v>2.09480010861266E-2</v>
      </c>
      <c r="Q2">
        <v>-0.36373095377918202</v>
      </c>
      <c r="R2">
        <v>5.0505984440364898E-4</v>
      </c>
      <c r="S2">
        <v>-4.1864783224422601E-2</v>
      </c>
      <c r="T2">
        <v>-9.6126641659024806E-2</v>
      </c>
      <c r="U2">
        <v>-8.0992848567109695E-3</v>
      </c>
      <c r="V2">
        <v>-8.9153330195928897E-4</v>
      </c>
      <c r="W2">
        <v>0.171036490137769</v>
      </c>
      <c r="X2">
        <v>0.10677013991119801</v>
      </c>
      <c r="Y2">
        <v>-0.23313551122967099</v>
      </c>
      <c r="Z2">
        <v>0.414469238862886</v>
      </c>
      <c r="AA2">
        <v>0.69855452970050502</v>
      </c>
      <c r="AB2" s="2">
        <f>AA2-I2</f>
        <v>0.46319623735721305</v>
      </c>
      <c r="AC2">
        <v>-1.32629278524743</v>
      </c>
      <c r="AD2">
        <v>-0.61796280604048204</v>
      </c>
      <c r="AE2">
        <v>-0.436629078407267</v>
      </c>
      <c r="AF2">
        <v>-0.83627524630429895</v>
      </c>
    </row>
    <row r="3" spans="1:32" x14ac:dyDescent="0.35">
      <c r="A3" t="s">
        <v>33</v>
      </c>
      <c r="B3" t="s">
        <v>32</v>
      </c>
      <c r="C3">
        <v>-1</v>
      </c>
      <c r="D3">
        <v>0.29138772747964098</v>
      </c>
      <c r="E3">
        <v>0.20751042016384599</v>
      </c>
      <c r="F3">
        <v>0.113357457258702</v>
      </c>
      <c r="G3">
        <v>9.7716048972668196E-2</v>
      </c>
      <c r="H3">
        <v>-5.91532101359378E-2</v>
      </c>
      <c r="I3">
        <v>0.23102780499548001</v>
      </c>
      <c r="J3">
        <v>-3.3405652214011802E-2</v>
      </c>
      <c r="K3">
        <v>-3.5337896134434499E-2</v>
      </c>
      <c r="L3">
        <v>-9.7526156234725395E-2</v>
      </c>
      <c r="M3">
        <v>-3.3451247097991299E-2</v>
      </c>
      <c r="N3">
        <v>-7.7388778211201796E-3</v>
      </c>
      <c r="O3">
        <v>-0.13051736587268001</v>
      </c>
      <c r="P3">
        <v>4.4718452819064197E-2</v>
      </c>
      <c r="Q3">
        <v>-0.37795184928776498</v>
      </c>
      <c r="R3">
        <v>5.950273560484E-4</v>
      </c>
      <c r="S3">
        <v>-2.6783451026086001E-2</v>
      </c>
      <c r="T3">
        <v>-9.6213710590928994E-2</v>
      </c>
      <c r="U3">
        <v>-0.13797271237506301</v>
      </c>
      <c r="V3">
        <v>-6.5844159084846603E-5</v>
      </c>
      <c r="W3">
        <v>-8.0930364752975201E-2</v>
      </c>
      <c r="X3">
        <v>0.246367721831767</v>
      </c>
      <c r="Y3">
        <v>-0.13834317705567301</v>
      </c>
      <c r="Z3">
        <v>0.63724132469915995</v>
      </c>
      <c r="AA3">
        <v>0.34932404438449699</v>
      </c>
      <c r="AB3" s="2">
        <f t="shared" ref="AB3:AB18" si="0">AA3-I3</f>
        <v>0.11829623938901698</v>
      </c>
      <c r="AC3">
        <v>-0.73419659789214797</v>
      </c>
      <c r="AD3">
        <v>-0.38219863522876701</v>
      </c>
      <c r="AE3">
        <v>0.116699512414719</v>
      </c>
      <c r="AF3">
        <v>-0.206163355339544</v>
      </c>
    </row>
    <row r="4" spans="1:32" x14ac:dyDescent="0.35">
      <c r="A4" t="s">
        <v>34</v>
      </c>
      <c r="B4" t="s">
        <v>32</v>
      </c>
      <c r="C4">
        <v>-1</v>
      </c>
      <c r="D4">
        <v>7.0409518749265695E-2</v>
      </c>
      <c r="E4">
        <v>0.334563146011224</v>
      </c>
      <c r="F4">
        <v>8.4390722113830099E-2</v>
      </c>
      <c r="G4">
        <v>5.2044238372703902E-2</v>
      </c>
      <c r="H4">
        <v>-7.1699905905479602E-2</v>
      </c>
      <c r="I4">
        <v>8.2750407381655997E-2</v>
      </c>
      <c r="J4">
        <v>-3.7624014205788599E-2</v>
      </c>
      <c r="K4">
        <v>-0.20119765322797301</v>
      </c>
      <c r="L4">
        <v>-0.25248892574124898</v>
      </c>
      <c r="M4">
        <v>0</v>
      </c>
      <c r="N4">
        <v>-6.2254865808341201E-3</v>
      </c>
      <c r="O4">
        <v>-7.4273918697488001E-3</v>
      </c>
      <c r="P4">
        <v>2.51765765432529E-2</v>
      </c>
      <c r="Q4">
        <v>-0.16467395034127</v>
      </c>
      <c r="R4">
        <v>-5.7101380587429003E-3</v>
      </c>
      <c r="S4">
        <v>-2.6574551007999901E-2</v>
      </c>
      <c r="T4">
        <v>-9.6631639124960103E-2</v>
      </c>
      <c r="U4">
        <v>-0.112668281418978</v>
      </c>
      <c r="V4">
        <v>-4.64375413991062E-5</v>
      </c>
      <c r="W4">
        <v>5.7480661108821697E-2</v>
      </c>
      <c r="X4">
        <v>7.3497892891865396E-2</v>
      </c>
      <c r="Y4">
        <v>0.28189703895139501</v>
      </c>
      <c r="Z4">
        <v>0.12307562580909499</v>
      </c>
      <c r="AA4">
        <v>0.109920446431576</v>
      </c>
      <c r="AB4" s="2">
        <f t="shared" si="0"/>
        <v>2.7170039049920006E-2</v>
      </c>
      <c r="AC4">
        <v>-0.71934747789901798</v>
      </c>
      <c r="AD4">
        <v>-0.60859101476916899</v>
      </c>
      <c r="AE4">
        <v>-0.20361835000867901</v>
      </c>
      <c r="AF4">
        <v>-0.15496258918560801</v>
      </c>
    </row>
    <row r="5" spans="1:32" x14ac:dyDescent="0.35">
      <c r="A5" t="s">
        <v>35</v>
      </c>
      <c r="B5" t="s">
        <v>32</v>
      </c>
      <c r="C5">
        <v>-1</v>
      </c>
      <c r="D5">
        <v>-9.5656904722252106E-2</v>
      </c>
      <c r="E5">
        <v>9.6940855523302893E-2</v>
      </c>
      <c r="F5">
        <v>0.49002857232950098</v>
      </c>
      <c r="G5">
        <v>0.208391135077172</v>
      </c>
      <c r="H5">
        <v>-6.0391933673744902E-2</v>
      </c>
      <c r="I5">
        <v>0.127323007835629</v>
      </c>
      <c r="J5">
        <v>-3.1435768777114702E-2</v>
      </c>
      <c r="K5">
        <v>-1.5431334318346699E-2</v>
      </c>
      <c r="L5">
        <v>-2.4236114768831401E-2</v>
      </c>
      <c r="M5">
        <v>0</v>
      </c>
      <c r="N5">
        <v>-0.1116771169521</v>
      </c>
      <c r="O5">
        <v>-1.4130478598766601E-3</v>
      </c>
      <c r="P5">
        <v>1.48527177757743E-2</v>
      </c>
      <c r="Q5">
        <v>-0.147876796119602</v>
      </c>
      <c r="R5">
        <v>-6.5334557705919397E-3</v>
      </c>
      <c r="S5">
        <v>-3.7491897544000202E-2</v>
      </c>
      <c r="T5">
        <v>-6.3307767234083601E-2</v>
      </c>
      <c r="U5">
        <v>-0.104470891080262</v>
      </c>
      <c r="V5">
        <v>-5.8359649790091399E-4</v>
      </c>
      <c r="W5">
        <v>-0.139181652755761</v>
      </c>
      <c r="X5">
        <v>0.13055531739648699</v>
      </c>
      <c r="Y5">
        <v>-0.141987561627687</v>
      </c>
      <c r="Z5">
        <v>0.14327151242873801</v>
      </c>
      <c r="AA5">
        <v>0.73267847772514905</v>
      </c>
      <c r="AB5" s="2">
        <f t="shared" si="0"/>
        <v>0.60535546988952005</v>
      </c>
      <c r="AC5">
        <v>-0.50768403721561195</v>
      </c>
      <c r="AD5">
        <v>0.228917102365608</v>
      </c>
      <c r="AE5">
        <v>0.23020105316665901</v>
      </c>
      <c r="AF5">
        <v>-7.33367157086416E-2</v>
      </c>
    </row>
    <row r="6" spans="1:32" x14ac:dyDescent="0.35">
      <c r="A6" t="s">
        <v>36</v>
      </c>
      <c r="B6" t="s">
        <v>32</v>
      </c>
      <c r="C6">
        <v>-1</v>
      </c>
      <c r="D6">
        <v>0.12347864355657601</v>
      </c>
      <c r="E6">
        <v>5.1398582782936103E-2</v>
      </c>
      <c r="F6">
        <v>0.350634639232693</v>
      </c>
      <c r="G6">
        <v>0.18132833289649899</v>
      </c>
      <c r="H6">
        <v>-4.6919376760871503E-2</v>
      </c>
      <c r="I6">
        <v>9.4528726965219897E-2</v>
      </c>
      <c r="J6">
        <v>-2.2967963618569998E-2</v>
      </c>
      <c r="K6">
        <v>0.17944505351008599</v>
      </c>
      <c r="L6">
        <v>2.0341748838583099E-2</v>
      </c>
      <c r="M6">
        <v>0</v>
      </c>
      <c r="N6">
        <v>-0.104667995470671</v>
      </c>
      <c r="O6">
        <v>-6.71988407316382E-4</v>
      </c>
      <c r="P6">
        <v>1.2605510376570201E-2</v>
      </c>
      <c r="Q6">
        <v>-0.34619775619210402</v>
      </c>
      <c r="R6">
        <v>-1.6772231715069301E-2</v>
      </c>
      <c r="S6">
        <v>-3.5908570943400497E-2</v>
      </c>
      <c r="T6">
        <v>-5.0238210637218797E-2</v>
      </c>
      <c r="U6">
        <v>-9.6103418388998496E-2</v>
      </c>
      <c r="V6">
        <v>-2.1619606193804901E-3</v>
      </c>
      <c r="W6">
        <v>-0.10798661114378599</v>
      </c>
      <c r="X6">
        <v>0.112651604454477</v>
      </c>
      <c r="Y6">
        <v>0.19183196160476301</v>
      </c>
      <c r="Z6">
        <v>-1.6954735265250501E-2</v>
      </c>
      <c r="AA6">
        <v>0.55586415360289798</v>
      </c>
      <c r="AB6" s="2">
        <f t="shared" si="0"/>
        <v>0.46133542663767807</v>
      </c>
      <c r="AC6">
        <v>-0.435603111701512</v>
      </c>
      <c r="AD6">
        <v>0.122777318364768</v>
      </c>
      <c r="AE6">
        <v>0.29765454470427999</v>
      </c>
      <c r="AF6">
        <v>0.11023419006924499</v>
      </c>
    </row>
    <row r="7" spans="1:32" x14ac:dyDescent="0.35">
      <c r="A7" t="s">
        <v>37</v>
      </c>
      <c r="B7" t="s">
        <v>32</v>
      </c>
      <c r="C7">
        <v>-1</v>
      </c>
      <c r="D7">
        <v>0.40650570357638799</v>
      </c>
      <c r="E7">
        <v>0.136691698568599</v>
      </c>
      <c r="F7">
        <v>0.26769889286291498</v>
      </c>
      <c r="G7">
        <v>2.1497719565335398E-2</v>
      </c>
      <c r="H7">
        <v>-4.3703023830997202E-2</v>
      </c>
      <c r="I7">
        <v>-9.5365599689748198E-2</v>
      </c>
      <c r="J7">
        <v>-1.250579938059E-2</v>
      </c>
      <c r="K7">
        <v>0.262851861848517</v>
      </c>
      <c r="L7">
        <v>4.9653197595397103E-2</v>
      </c>
      <c r="M7">
        <v>0</v>
      </c>
      <c r="N7">
        <v>-0.100405578542052</v>
      </c>
      <c r="O7">
        <v>-3.3408506757194801E-4</v>
      </c>
      <c r="P7">
        <v>1.04559636480671E-2</v>
      </c>
      <c r="Q7">
        <v>-0.30976776467698602</v>
      </c>
      <c r="R7">
        <v>-6.6690089586276202E-2</v>
      </c>
      <c r="S7">
        <v>-3.4038325524147602E-2</v>
      </c>
      <c r="T7">
        <v>-4.3936535393618102E-2</v>
      </c>
      <c r="U7">
        <v>-5.5729672642463098E-2</v>
      </c>
      <c r="V7">
        <v>-4.4268524616808E-5</v>
      </c>
      <c r="W7">
        <v>0.20674711777249699</v>
      </c>
      <c r="X7">
        <v>4.4619556639790899E-2</v>
      </c>
      <c r="Y7">
        <v>0.63577579400065898</v>
      </c>
      <c r="Z7">
        <v>-9.2578391855672001E-2</v>
      </c>
      <c r="AA7">
        <v>0.13795910196057001</v>
      </c>
      <c r="AB7" s="2">
        <f t="shared" si="0"/>
        <v>0.23332470165031821</v>
      </c>
      <c r="AC7">
        <v>-3.5405604657315098E-2</v>
      </c>
      <c r="AD7">
        <v>0.102604629247405</v>
      </c>
      <c r="AE7">
        <v>0.64580203139239201</v>
      </c>
      <c r="AF7">
        <v>0.24250981981366301</v>
      </c>
    </row>
    <row r="8" spans="1:32" x14ac:dyDescent="0.35">
      <c r="A8" t="s">
        <v>38</v>
      </c>
      <c r="B8" t="s">
        <v>32</v>
      </c>
      <c r="C8">
        <v>-1</v>
      </c>
      <c r="D8">
        <v>0.133873781721287</v>
      </c>
      <c r="E8">
        <v>4.0840032414223203E-2</v>
      </c>
      <c r="F8">
        <v>0.26578106401662999</v>
      </c>
      <c r="G8">
        <v>2.9094858618363102E-2</v>
      </c>
      <c r="H8">
        <v>-3.4339266354473298E-2</v>
      </c>
      <c r="I8">
        <v>-0.133729009875071</v>
      </c>
      <c r="J8">
        <v>1.13690102002034E-2</v>
      </c>
      <c r="K8">
        <v>0.27225397073088298</v>
      </c>
      <c r="L8">
        <v>1.6960520897413001E-2</v>
      </c>
      <c r="M8">
        <v>0</v>
      </c>
      <c r="N8">
        <v>-0.10036426676492601</v>
      </c>
      <c r="O8">
        <v>-1.7257240165849299E-4</v>
      </c>
      <c r="P8">
        <v>5.7762572067887397E-3</v>
      </c>
      <c r="Q8">
        <v>-0.15458604468813</v>
      </c>
      <c r="R8">
        <v>-2.9046972423239802E-2</v>
      </c>
      <c r="S8">
        <v>-2.2294995129037001E-2</v>
      </c>
      <c r="T8">
        <v>-2.6522516209101999E-2</v>
      </c>
      <c r="U8">
        <v>-3.0672088360098701E-2</v>
      </c>
      <c r="V8">
        <v>-5.5553434027490802E-5</v>
      </c>
      <c r="W8">
        <v>0.14998115565769099</v>
      </c>
      <c r="X8">
        <v>0.15091666254341701</v>
      </c>
      <c r="Y8">
        <v>0.152548376323595</v>
      </c>
      <c r="Z8">
        <v>2.2165437811915399E-2</v>
      </c>
      <c r="AA8">
        <v>0.13854798222895001</v>
      </c>
      <c r="AB8" s="2">
        <f t="shared" si="0"/>
        <v>0.27227699210402101</v>
      </c>
      <c r="AC8">
        <v>0.23270567166299999</v>
      </c>
      <c r="AD8">
        <v>0.37091899841143999</v>
      </c>
      <c r="AE8">
        <v>0.54563281254694995</v>
      </c>
      <c r="AF8">
        <v>0.42982261045257097</v>
      </c>
    </row>
    <row r="9" spans="1:32" x14ac:dyDescent="0.35">
      <c r="A9" t="s">
        <v>39</v>
      </c>
      <c r="B9" t="s">
        <v>32</v>
      </c>
      <c r="C9">
        <v>-1</v>
      </c>
      <c r="D9">
        <v>-0.51945344220673595</v>
      </c>
      <c r="E9">
        <v>-3.6329068795956501E-2</v>
      </c>
      <c r="F9">
        <v>-6.8923507981179702E-2</v>
      </c>
      <c r="G9">
        <v>4.5824279035484701E-2</v>
      </c>
      <c r="H9">
        <v>-4.2648201337320401E-3</v>
      </c>
      <c r="I9">
        <v>2.4851299983382799E-2</v>
      </c>
      <c r="J9">
        <v>1.3575618265951101E-2</v>
      </c>
      <c r="K9">
        <v>0.18178302235421301</v>
      </c>
      <c r="L9">
        <v>-8.9342834717323107E-3</v>
      </c>
      <c r="M9">
        <v>0</v>
      </c>
      <c r="N9">
        <v>-9.6865948504741201E-2</v>
      </c>
      <c r="O9">
        <v>0</v>
      </c>
      <c r="P9">
        <v>4.4613387682665602E-4</v>
      </c>
      <c r="Q9">
        <v>-7.3745275639246904E-2</v>
      </c>
      <c r="R9">
        <v>-2.81145842287071E-2</v>
      </c>
      <c r="S9">
        <v>-1.4963859323346399E-2</v>
      </c>
      <c r="T9">
        <v>-1.06082419539028E-2</v>
      </c>
      <c r="U9">
        <v>-3.0099482833375799E-2</v>
      </c>
      <c r="V9">
        <v>-3.0217362087457E-4</v>
      </c>
      <c r="W9">
        <v>0.103999770504797</v>
      </c>
      <c r="X9">
        <v>2.61260701306016E-3</v>
      </c>
      <c r="Y9">
        <v>-1.16995132804385</v>
      </c>
      <c r="Z9">
        <v>0.614168817041161</v>
      </c>
      <c r="AA9">
        <v>1.11027166496448E-2</v>
      </c>
      <c r="AB9" s="2">
        <f t="shared" si="0"/>
        <v>-1.3748583333737999E-2</v>
      </c>
      <c r="AC9">
        <v>2.5525593403408701E-2</v>
      </c>
      <c r="AD9">
        <v>3.6625316518402701E-2</v>
      </c>
      <c r="AE9">
        <v>-0.51915719448428999</v>
      </c>
      <c r="AF9">
        <v>0.24248304853983299</v>
      </c>
    </row>
    <row r="10" spans="1:32" x14ac:dyDescent="0.35">
      <c r="A10" t="s">
        <v>40</v>
      </c>
      <c r="B10" t="s">
        <v>32</v>
      </c>
      <c r="C10">
        <v>-1</v>
      </c>
      <c r="D10">
        <v>-0.49659070787292697</v>
      </c>
      <c r="E10">
        <v>9.0506589373416602E-2</v>
      </c>
      <c r="F10">
        <v>-0.49360351627841198</v>
      </c>
      <c r="G10">
        <v>-3.9331912203167403E-2</v>
      </c>
      <c r="H10">
        <v>7.0579943690931299E-3</v>
      </c>
      <c r="I10">
        <v>0.187169199391747</v>
      </c>
      <c r="J10">
        <v>1.9233387701995601E-3</v>
      </c>
      <c r="K10">
        <v>0.46724310870124203</v>
      </c>
      <c r="L10">
        <v>-1.45027864177198E-2</v>
      </c>
      <c r="M10">
        <v>0</v>
      </c>
      <c r="N10">
        <v>-9.4949894815243602E-2</v>
      </c>
      <c r="O10">
        <v>0</v>
      </c>
      <c r="P10">
        <v>1.8247773810152401E-3</v>
      </c>
      <c r="Q10">
        <v>-9.49991988352311E-2</v>
      </c>
      <c r="R10">
        <v>-2.6737310243037899E-2</v>
      </c>
      <c r="S10">
        <v>-1.3483429468480799E-2</v>
      </c>
      <c r="T10">
        <v>-1.00208283497742E-2</v>
      </c>
      <c r="U10">
        <v>-2.3738219379538301E-2</v>
      </c>
      <c r="V10">
        <v>-1.03804464936561E-3</v>
      </c>
      <c r="W10">
        <v>0.285016460293538</v>
      </c>
      <c r="X10">
        <v>-2.99527412765348E-2</v>
      </c>
      <c r="Y10">
        <v>-0.94596316734547603</v>
      </c>
      <c r="Z10">
        <v>0.53987904884596605</v>
      </c>
      <c r="AA10">
        <v>-0.33591118113824903</v>
      </c>
      <c r="AB10" s="2">
        <f t="shared" si="0"/>
        <v>-0.52308038052999606</v>
      </c>
      <c r="AC10">
        <v>0.44530218131426502</v>
      </c>
      <c r="AD10">
        <v>-0.189041894533449</v>
      </c>
      <c r="AE10">
        <v>-0.59512601303295898</v>
      </c>
      <c r="AF10">
        <v>1.92879091055238E-2</v>
      </c>
    </row>
    <row r="11" spans="1:32" x14ac:dyDescent="0.35">
      <c r="A11" t="s">
        <v>41</v>
      </c>
      <c r="B11" t="s">
        <v>42</v>
      </c>
      <c r="C11">
        <v>0</v>
      </c>
      <c r="D11">
        <v>0.163111297253933</v>
      </c>
      <c r="E11">
        <v>-0.18895750920943799</v>
      </c>
      <c r="F11">
        <v>-0.225617648258191</v>
      </c>
      <c r="G11">
        <v>3.1964415242308503E-2</v>
      </c>
      <c r="H11">
        <v>0.18570531800002099</v>
      </c>
      <c r="I11">
        <v>0.18199766032275999</v>
      </c>
      <c r="J11">
        <v>6.9886573575032003E-3</v>
      </c>
      <c r="K11">
        <v>0.23748378909972601</v>
      </c>
      <c r="L11">
        <v>-2.4409454094093301E-4</v>
      </c>
      <c r="M11">
        <v>0</v>
      </c>
      <c r="N11">
        <v>-9.9896093511049611E-4</v>
      </c>
      <c r="O11">
        <v>0</v>
      </c>
      <c r="P11">
        <v>-8.3673707460128807E-3</v>
      </c>
      <c r="Q11">
        <v>-7.46265037458759E-2</v>
      </c>
      <c r="R11">
        <v>-2.6048206028168701E-2</v>
      </c>
      <c r="S11">
        <v>-1.38103838239934E-2</v>
      </c>
      <c r="T11">
        <v>-8.5423386433022899E-3</v>
      </c>
      <c r="U11">
        <v>-2.9638323362874801E-2</v>
      </c>
      <c r="V11">
        <v>-5.2655433301352999E-4</v>
      </c>
      <c r="W11">
        <v>0.22450059422556301</v>
      </c>
      <c r="X11">
        <v>1.9343238159436999E-3</v>
      </c>
      <c r="Y11">
        <v>0.110782082236574</v>
      </c>
      <c r="Z11">
        <v>-0.136628294192079</v>
      </c>
      <c r="AA11">
        <v>0.18149619496345601</v>
      </c>
      <c r="AB11" s="2">
        <f t="shared" si="0"/>
        <v>-5.0146535930398195E-4</v>
      </c>
      <c r="AC11">
        <v>0.30124015726144299</v>
      </c>
      <c r="AD11">
        <v>0.18215782807602701</v>
      </c>
      <c r="AE11">
        <v>0.156311616120521</v>
      </c>
      <c r="AF11">
        <v>-0.103084694712444</v>
      </c>
    </row>
    <row r="12" spans="1:32" x14ac:dyDescent="0.35">
      <c r="A12" t="s">
        <v>43</v>
      </c>
      <c r="B12" t="s">
        <v>42</v>
      </c>
      <c r="C12">
        <v>0</v>
      </c>
      <c r="D12">
        <v>5.1277427045617302E-2</v>
      </c>
      <c r="E12">
        <v>-0.18797856990234901</v>
      </c>
      <c r="F12">
        <v>-0.18376482299076699</v>
      </c>
      <c r="G12">
        <v>1.2855036336618801E-2</v>
      </c>
      <c r="H12">
        <v>6.5942042814213703E-2</v>
      </c>
      <c r="I12">
        <v>7.1097532169157304E-2</v>
      </c>
      <c r="J12">
        <v>9.6981954247357793E-3</v>
      </c>
      <c r="K12">
        <v>0.15390502911734</v>
      </c>
      <c r="L12">
        <v>2.68155371055342E-2</v>
      </c>
      <c r="M12">
        <v>0</v>
      </c>
      <c r="N12">
        <v>-9.7192310751689304E-4</v>
      </c>
      <c r="O12">
        <v>0</v>
      </c>
      <c r="P12">
        <v>-7.7753445618424198E-3</v>
      </c>
      <c r="Q12">
        <v>-3.6283497165518701E-2</v>
      </c>
      <c r="R12">
        <v>-3.9026383613157399E-3</v>
      </c>
      <c r="S12">
        <v>-1.28548485299851E-2</v>
      </c>
      <c r="T12">
        <v>-7.6754748377312098E-3</v>
      </c>
      <c r="U12">
        <v>-2.4548492152382501E-2</v>
      </c>
      <c r="V12">
        <v>-4.45468017451337E-4</v>
      </c>
      <c r="W12">
        <v>0.22947080428754399</v>
      </c>
      <c r="X12">
        <v>2.0152617978004699E-2</v>
      </c>
      <c r="Y12">
        <v>-5.3072004244564902E-2</v>
      </c>
      <c r="Z12">
        <v>-8.3629138612166795E-2</v>
      </c>
      <c r="AA12">
        <v>-2.3945291611309601E-2</v>
      </c>
      <c r="AB12" s="2">
        <f t="shared" si="0"/>
        <v>-9.5042823780466912E-2</v>
      </c>
      <c r="AC12">
        <v>0.33571050725373403</v>
      </c>
      <c r="AD12">
        <v>1.18504033031875E-2</v>
      </c>
      <c r="AE12">
        <v>-0.124850739553544</v>
      </c>
      <c r="AF12">
        <v>-0.27070558273756701</v>
      </c>
    </row>
    <row r="13" spans="1:32" x14ac:dyDescent="0.35">
      <c r="A13" t="s">
        <v>44</v>
      </c>
      <c r="B13" t="s">
        <v>42</v>
      </c>
      <c r="C13">
        <v>0</v>
      </c>
      <c r="D13">
        <v>0.29588504945161798</v>
      </c>
      <c r="E13">
        <v>-0.18679326743754099</v>
      </c>
      <c r="F13">
        <v>-0.157889086807043</v>
      </c>
      <c r="G13">
        <v>-5.17525296486206E-3</v>
      </c>
      <c r="H13">
        <v>6.3538307727449006E-2</v>
      </c>
      <c r="I13">
        <v>0.313882330011445</v>
      </c>
      <c r="J13">
        <v>6.5070205318474104E-3</v>
      </c>
      <c r="K13">
        <v>3.0623218064218399E-2</v>
      </c>
      <c r="L13">
        <v>4.0643938098240899E-2</v>
      </c>
      <c r="M13">
        <v>0</v>
      </c>
      <c r="N13">
        <v>-9.4783565666223799E-4</v>
      </c>
      <c r="O13">
        <v>0</v>
      </c>
      <c r="P13">
        <v>-7.1485207788222101E-3</v>
      </c>
      <c r="Q13">
        <v>-2.8042467224146102E-3</v>
      </c>
      <c r="R13">
        <v>-2.66767452900793E-3</v>
      </c>
      <c r="S13">
        <v>-1.4294821389197999E-2</v>
      </c>
      <c r="T13">
        <v>-7.0418371850735403E-3</v>
      </c>
      <c r="U13">
        <v>-2.2803875892856401E-2</v>
      </c>
      <c r="V13">
        <v>-4.11448413644342E-4</v>
      </c>
      <c r="W13">
        <v>0.27300490883686801</v>
      </c>
      <c r="X13">
        <v>2.93317054991943E-2</v>
      </c>
      <c r="Y13">
        <v>0.24418566712940901</v>
      </c>
      <c r="Z13">
        <v>-0.13509388511533099</v>
      </c>
      <c r="AA13">
        <v>0.22128179875224799</v>
      </c>
      <c r="AB13" s="2">
        <f t="shared" si="0"/>
        <v>-9.2600531259197011E-2</v>
      </c>
      <c r="AC13">
        <v>0.31537332934891099</v>
      </c>
      <c r="AD13">
        <v>0.29591252004456903</v>
      </c>
      <c r="AE13">
        <v>0.40500430205864602</v>
      </c>
      <c r="AF13">
        <v>-3.9665208601833299E-2</v>
      </c>
    </row>
    <row r="14" spans="1:32" x14ac:dyDescent="0.35">
      <c r="A14" t="s">
        <v>45</v>
      </c>
      <c r="B14" t="s">
        <v>42</v>
      </c>
      <c r="C14">
        <v>0</v>
      </c>
      <c r="D14">
        <v>2.5063031368209299E-2</v>
      </c>
      <c r="E14">
        <v>-0.19788469881148801</v>
      </c>
      <c r="F14">
        <v>-0.108594546287687</v>
      </c>
      <c r="G14">
        <v>2.60357465574721E-3</v>
      </c>
      <c r="H14">
        <v>6.1199868765372603E-2</v>
      </c>
      <c r="I14">
        <v>0.24883676109205699</v>
      </c>
      <c r="J14">
        <v>4.4335969424576004E-3</v>
      </c>
      <c r="K14">
        <v>-0.20350135119849799</v>
      </c>
      <c r="L14">
        <v>4.94236866899661E-2</v>
      </c>
      <c r="M14">
        <v>0</v>
      </c>
      <c r="N14">
        <v>0</v>
      </c>
      <c r="O14">
        <v>0</v>
      </c>
      <c r="P14">
        <v>-7.6631956825140403E-3</v>
      </c>
      <c r="Q14">
        <v>-9.3948558553592703E-5</v>
      </c>
      <c r="R14">
        <v>-2.2399328560741599E-3</v>
      </c>
      <c r="S14">
        <v>-9.8355115133880299E-3</v>
      </c>
      <c r="T14">
        <v>-6.46551279772871E-3</v>
      </c>
      <c r="U14">
        <v>-2.0976970786457501E-2</v>
      </c>
      <c r="V14">
        <v>-3.82465757702634E-4</v>
      </c>
      <c r="W14">
        <v>0.186608335863096</v>
      </c>
      <c r="X14">
        <v>3.1639762071453803E-2</v>
      </c>
      <c r="Y14">
        <v>-5.9218055110206197E-2</v>
      </c>
      <c r="Z14">
        <v>-0.11360361233307199</v>
      </c>
      <c r="AA14">
        <v>0.20865971156872001</v>
      </c>
      <c r="AB14" s="2">
        <f t="shared" si="0"/>
        <v>-4.0177049523336977E-2</v>
      </c>
      <c r="AC14">
        <v>1.6937741243205601E-2</v>
      </c>
      <c r="AD14">
        <v>8.5559909810866905E-2</v>
      </c>
      <c r="AE14">
        <v>-8.7261757632411494E-2</v>
      </c>
      <c r="AF14">
        <v>8.7300855248303499E-2</v>
      </c>
    </row>
    <row r="15" spans="1:32" x14ac:dyDescent="0.35">
      <c r="A15" t="s">
        <v>46</v>
      </c>
      <c r="B15" t="s">
        <v>42</v>
      </c>
      <c r="C15">
        <v>0</v>
      </c>
      <c r="D15">
        <v>-3.9419277329213298E-2</v>
      </c>
      <c r="E15">
        <v>-0.18767070266208299</v>
      </c>
      <c r="F15">
        <v>-0.107081655066805</v>
      </c>
      <c r="G15">
        <v>1.5495770924980201E-2</v>
      </c>
      <c r="H15">
        <v>6.6290283313533593E-2</v>
      </c>
      <c r="I15">
        <v>7.6554648901424605E-2</v>
      </c>
      <c r="J15">
        <v>3.7277292757793702E-3</v>
      </c>
      <c r="K15">
        <v>-7.4844166111264293E-2</v>
      </c>
      <c r="L15">
        <v>9.3675739065071095E-3</v>
      </c>
      <c r="M15">
        <v>0</v>
      </c>
      <c r="N15">
        <v>0</v>
      </c>
      <c r="O15">
        <v>0</v>
      </c>
      <c r="P15">
        <v>-6.6907591403234396E-3</v>
      </c>
      <c r="Q15">
        <v>6.0136996133741498E-4</v>
      </c>
      <c r="R15">
        <v>-2.8257296480183498E-3</v>
      </c>
      <c r="S15">
        <v>-6.7070295019788801E-3</v>
      </c>
      <c r="T15">
        <v>-5.76628720574865E-3</v>
      </c>
      <c r="U15">
        <v>-1.9015005404116901E-2</v>
      </c>
      <c r="V15">
        <v>-3.32772769679777E-4</v>
      </c>
      <c r="W15">
        <v>0.16994915028806101</v>
      </c>
      <c r="X15">
        <v>5.6846796386391197E-3</v>
      </c>
      <c r="Y15">
        <v>-7.3368861520993006E-2</v>
      </c>
      <c r="Z15">
        <v>-0.15372111847030301</v>
      </c>
      <c r="AA15">
        <v>5.5087851799672398E-2</v>
      </c>
      <c r="AB15" s="2">
        <f t="shared" si="0"/>
        <v>-2.1466797101752207E-2</v>
      </c>
      <c r="AC15">
        <v>6.9582708343007699E-2</v>
      </c>
      <c r="AD15">
        <v>-1.53703705743763E-2</v>
      </c>
      <c r="AE15">
        <v>-0.242460350565673</v>
      </c>
      <c r="AF15">
        <v>-1.23921364232451E-2</v>
      </c>
    </row>
    <row r="16" spans="1:32" x14ac:dyDescent="0.35">
      <c r="A16" t="s">
        <v>47</v>
      </c>
      <c r="B16" t="s">
        <v>42</v>
      </c>
      <c r="C16">
        <v>0</v>
      </c>
      <c r="D16">
        <v>-0.134754265364598</v>
      </c>
      <c r="E16">
        <v>-0.198482369960888</v>
      </c>
      <c r="F16">
        <v>-8.53676104400794E-2</v>
      </c>
      <c r="G16">
        <v>2.67850730649783E-2</v>
      </c>
      <c r="H16">
        <v>7.2346729876637594E-2</v>
      </c>
      <c r="I16">
        <v>-5.3219630374798398E-2</v>
      </c>
      <c r="J16">
        <v>5.4605074072783004E-3</v>
      </c>
      <c r="K16">
        <v>-2.69397539141716E-2</v>
      </c>
      <c r="L16">
        <v>9.4824810682655695E-3</v>
      </c>
      <c r="M16">
        <v>0</v>
      </c>
      <c r="N16">
        <v>0</v>
      </c>
      <c r="O16">
        <v>0</v>
      </c>
      <c r="P16">
        <v>-5.5662077626494897E-3</v>
      </c>
      <c r="Q16">
        <v>2.3570059463391998E-3</v>
      </c>
      <c r="R16">
        <v>-2.9728776926127998E-4</v>
      </c>
      <c r="S16">
        <v>-3.0653343091065401E-3</v>
      </c>
      <c r="T16">
        <v>-3.2052847720757198E-3</v>
      </c>
      <c r="U16">
        <v>-1.2025895631619E-2</v>
      </c>
      <c r="V16">
        <v>-3.2731495224799399E-4</v>
      </c>
      <c r="W16">
        <v>0.115959358088856</v>
      </c>
      <c r="X16">
        <v>-7.1113242576673098E-3</v>
      </c>
      <c r="Y16">
        <v>-0.19354294611066999</v>
      </c>
      <c r="Z16">
        <v>-0.13969368921481601</v>
      </c>
      <c r="AA16">
        <v>-3.3915336615843603E-2</v>
      </c>
      <c r="AB16" s="2">
        <f t="shared" si="0"/>
        <v>1.9304293758954795E-2</v>
      </c>
      <c r="AC16">
        <v>6.9312195289595604E-2</v>
      </c>
      <c r="AD16">
        <v>-0.104578106041117</v>
      </c>
      <c r="AE16">
        <v>-0.43781474136660298</v>
      </c>
      <c r="AF16">
        <v>-9.0633136876509701E-2</v>
      </c>
    </row>
    <row r="17" spans="1:32" x14ac:dyDescent="0.35">
      <c r="A17" t="s">
        <v>48</v>
      </c>
      <c r="B17" t="s">
        <v>42</v>
      </c>
      <c r="C17">
        <v>0</v>
      </c>
      <c r="D17">
        <v>-6.4067477393471503E-2</v>
      </c>
      <c r="E17">
        <v>-0.202712782891321</v>
      </c>
      <c r="F17">
        <v>-0.194568075207978</v>
      </c>
      <c r="G17">
        <v>1.8037615083389399E-2</v>
      </c>
      <c r="H17">
        <v>7.9777253147179095E-2</v>
      </c>
      <c r="I17">
        <v>-0.20024746248282299</v>
      </c>
      <c r="J17">
        <v>5.53307401008943E-3</v>
      </c>
      <c r="K17">
        <v>-1.17522773604514E-2</v>
      </c>
      <c r="L17">
        <v>1.03984789268344E-2</v>
      </c>
      <c r="M17">
        <v>0</v>
      </c>
      <c r="N17">
        <v>0</v>
      </c>
      <c r="O17">
        <v>0</v>
      </c>
      <c r="P17">
        <v>-2.8424159735486601E-3</v>
      </c>
      <c r="Q17">
        <v>2.95299579862871E-3</v>
      </c>
      <c r="R17">
        <v>-2.9186795967888E-4</v>
      </c>
      <c r="S17">
        <v>-1.36738306873086E-3</v>
      </c>
      <c r="T17">
        <v>-1.8113138233232799E-3</v>
      </c>
      <c r="U17">
        <v>-1.14904795380124E-2</v>
      </c>
      <c r="V17">
        <v>-3.20879541638737E-4</v>
      </c>
      <c r="W17">
        <v>0.107258849208799</v>
      </c>
      <c r="X17">
        <v>-3.9361823659811801E-3</v>
      </c>
      <c r="Y17">
        <v>-0.10882876740007601</v>
      </c>
      <c r="Z17">
        <v>-0.15795149288471599</v>
      </c>
      <c r="AA17">
        <v>-0.29146863978198401</v>
      </c>
      <c r="AB17" s="2">
        <f t="shared" si="0"/>
        <v>-9.1221177299161016E-2</v>
      </c>
      <c r="AC17">
        <v>8.6820849626621899E-2</v>
      </c>
      <c r="AD17">
        <v>-0.244378810053513</v>
      </c>
      <c r="AE17">
        <v>-0.51115907033830499</v>
      </c>
      <c r="AF17">
        <v>-0.31967397997574798</v>
      </c>
    </row>
    <row r="18" spans="1:32" x14ac:dyDescent="0.35">
      <c r="A18" t="s">
        <v>49</v>
      </c>
      <c r="B18" t="s">
        <v>42</v>
      </c>
      <c r="C18">
        <v>0</v>
      </c>
      <c r="D18">
        <v>-0.110727166879507</v>
      </c>
      <c r="E18">
        <v>-0.19118455586668001</v>
      </c>
      <c r="F18">
        <v>-2.9836760326829598E-2</v>
      </c>
      <c r="G18">
        <v>2.3800282989591699E-2</v>
      </c>
      <c r="H18">
        <v>8.8515383497522901E-2</v>
      </c>
      <c r="I18">
        <v>-0.31115121931629902</v>
      </c>
      <c r="J18">
        <v>4.6304890358173801E-3</v>
      </c>
      <c r="K18">
        <v>-7.3764977580547996E-3</v>
      </c>
      <c r="L18">
        <v>1.0613895333767401E-2</v>
      </c>
      <c r="M18">
        <v>0</v>
      </c>
      <c r="N18">
        <v>0</v>
      </c>
      <c r="O18">
        <v>0</v>
      </c>
      <c r="P18">
        <v>-8.1672553494899301E-4</v>
      </c>
      <c r="Q18">
        <v>2.5172321776731001E-3</v>
      </c>
      <c r="R18">
        <v>-2.8515852447727301E-4</v>
      </c>
      <c r="S18">
        <v>-1.0320556003754499E-3</v>
      </c>
      <c r="T18">
        <v>-1.5233461318852799E-3</v>
      </c>
      <c r="U18">
        <v>-9.5126456296744898E-3</v>
      </c>
      <c r="V18">
        <v>-3.1358356411214999E-4</v>
      </c>
      <c r="W18">
        <v>8.9169655673979206E-2</v>
      </c>
      <c r="X18">
        <v>1.32367143557229E-3</v>
      </c>
      <c r="Y18">
        <v>-0.15456652081357</v>
      </c>
      <c r="Z18">
        <v>-0.14734520193261699</v>
      </c>
      <c r="AA18">
        <v>-0.22374322780984199</v>
      </c>
      <c r="AB18" s="2">
        <f t="shared" si="0"/>
        <v>8.7407991506457033E-2</v>
      </c>
      <c r="AC18">
        <v>8.2771763762185799E-2</v>
      </c>
      <c r="AD18">
        <v>-0.18077372137494799</v>
      </c>
      <c r="AE18">
        <v>-0.48268544412113401</v>
      </c>
      <c r="AF18">
        <v>-0.41852990159792802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9B891-51F1-43D7-9F44-62A9B9998A7F}">
  <dimension ref="A1:AF20"/>
  <sheetViews>
    <sheetView workbookViewId="0">
      <pane xSplit="1" ySplit="1" topLeftCell="T2" activePane="bottomRight" state="frozen"/>
      <selection pane="topRight" activeCell="B1" sqref="B1"/>
      <selection pane="bottomLeft" activeCell="A2" sqref="A2"/>
      <selection pane="bottomRight" activeCell="AA20" sqref="AA20"/>
    </sheetView>
  </sheetViews>
  <sheetFormatPr defaultRowHeight="14.5" x14ac:dyDescent="0.35"/>
  <sheetData>
    <row r="1" spans="1:32" s="1" customFormat="1" ht="8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50</v>
      </c>
      <c r="AC1" s="1" t="s">
        <v>27</v>
      </c>
      <c r="AD1" s="1" t="s">
        <v>28</v>
      </c>
      <c r="AE1" s="1" t="s">
        <v>29</v>
      </c>
      <c r="AF1" s="1" t="s">
        <v>30</v>
      </c>
    </row>
    <row r="2" spans="1:32" x14ac:dyDescent="0.35">
      <c r="A2" t="s">
        <v>31</v>
      </c>
      <c r="B2" t="s">
        <v>32</v>
      </c>
      <c r="C2">
        <v>-1</v>
      </c>
      <c r="D2">
        <f>oct!D2-sep!D2</f>
        <v>0</v>
      </c>
      <c r="E2">
        <f>oct!E2-sep!E2</f>
        <v>0</v>
      </c>
      <c r="F2">
        <f>oct!F2-sep!F2</f>
        <v>0</v>
      </c>
      <c r="G2">
        <f>oct!G2-sep!G2</f>
        <v>0</v>
      </c>
      <c r="H2">
        <f>oct!H2-sep!H2</f>
        <v>0</v>
      </c>
      <c r="I2">
        <f>oct!I2-sep!I2</f>
        <v>0</v>
      </c>
      <c r="J2">
        <f>oct!J2-sep!J2</f>
        <v>0</v>
      </c>
      <c r="K2">
        <f>oct!K2-sep!K2</f>
        <v>0</v>
      </c>
      <c r="L2">
        <f>oct!L2-sep!L2</f>
        <v>0</v>
      </c>
      <c r="M2">
        <f>oct!M2-sep!M2</f>
        <v>0</v>
      </c>
      <c r="N2">
        <f>oct!N2-sep!N2</f>
        <v>0</v>
      </c>
      <c r="O2">
        <f>oct!O2-sep!O2</f>
        <v>0</v>
      </c>
      <c r="P2">
        <f>oct!P2-sep!P2</f>
        <v>0</v>
      </c>
      <c r="Q2">
        <f>oct!Q2-sep!Q2</f>
        <v>0</v>
      </c>
      <c r="R2">
        <f>oct!R2-sep!R2</f>
        <v>0</v>
      </c>
      <c r="S2">
        <f>oct!S2-sep!S2</f>
        <v>0</v>
      </c>
      <c r="T2">
        <f>oct!T2-sep!T2</f>
        <v>0</v>
      </c>
      <c r="U2">
        <f>oct!U2-sep!U2</f>
        <v>0</v>
      </c>
      <c r="V2">
        <f>oct!V2-sep!V2</f>
        <v>0</v>
      </c>
      <c r="W2">
        <f>oct!W2-sep!W2</f>
        <v>0</v>
      </c>
      <c r="X2">
        <f>oct!X2-sep!X2</f>
        <v>0</v>
      </c>
      <c r="Y2">
        <f>oct!Y2-sep!Y2</f>
        <v>0</v>
      </c>
      <c r="Z2">
        <f>oct!Z2-sep!Z2</f>
        <v>0</v>
      </c>
      <c r="AA2">
        <f>oct!AA2-sep!AA2</f>
        <v>0</v>
      </c>
      <c r="AB2">
        <f>oct!AB2-sep!AB2</f>
        <v>0</v>
      </c>
      <c r="AC2">
        <f>oct!AC2-sep!AC2</f>
        <v>0</v>
      </c>
      <c r="AD2">
        <f>oct!AD2-sep!AD2</f>
        <v>0</v>
      </c>
      <c r="AE2">
        <f>oct!AE2-sep!AE2</f>
        <v>0</v>
      </c>
      <c r="AF2">
        <f>oct!AF2-sep!AF2</f>
        <v>0</v>
      </c>
    </row>
    <row r="3" spans="1:32" x14ac:dyDescent="0.35">
      <c r="A3" t="s">
        <v>33</v>
      </c>
      <c r="B3" t="s">
        <v>32</v>
      </c>
      <c r="C3">
        <v>-1</v>
      </c>
      <c r="D3">
        <f>oct!D3-sep!D3</f>
        <v>0</v>
      </c>
      <c r="E3">
        <f>oct!E3-sep!E3</f>
        <v>0</v>
      </c>
      <c r="F3">
        <f>oct!F3-sep!F3</f>
        <v>0</v>
      </c>
      <c r="G3">
        <f>oct!G3-sep!G3</f>
        <v>0</v>
      </c>
      <c r="H3">
        <f>oct!H3-sep!H3</f>
        <v>0</v>
      </c>
      <c r="I3">
        <f>oct!I3-sep!I3</f>
        <v>0</v>
      </c>
      <c r="J3">
        <f>oct!J3-sep!J3</f>
        <v>0</v>
      </c>
      <c r="K3">
        <f>oct!K3-sep!K3</f>
        <v>0</v>
      </c>
      <c r="L3">
        <f>oct!L3-sep!L3</f>
        <v>0</v>
      </c>
      <c r="M3">
        <f>oct!M3-sep!M3</f>
        <v>0</v>
      </c>
      <c r="N3">
        <f>oct!N3-sep!N3</f>
        <v>0</v>
      </c>
      <c r="O3">
        <f>oct!O3-sep!O3</f>
        <v>0</v>
      </c>
      <c r="P3">
        <f>oct!P3-sep!P3</f>
        <v>0</v>
      </c>
      <c r="Q3">
        <f>oct!Q3-sep!Q3</f>
        <v>0</v>
      </c>
      <c r="R3">
        <f>oct!R3-sep!R3</f>
        <v>0</v>
      </c>
      <c r="S3">
        <f>oct!S3-sep!S3</f>
        <v>0</v>
      </c>
      <c r="T3">
        <f>oct!T3-sep!T3</f>
        <v>0</v>
      </c>
      <c r="U3">
        <f>oct!U3-sep!U3</f>
        <v>0</v>
      </c>
      <c r="V3">
        <f>oct!V3-sep!V3</f>
        <v>0</v>
      </c>
      <c r="W3">
        <f>oct!W3-sep!W3</f>
        <v>0</v>
      </c>
      <c r="X3">
        <f>oct!X3-sep!X3</f>
        <v>0</v>
      </c>
      <c r="Y3">
        <f>oct!Y3-sep!Y3</f>
        <v>0</v>
      </c>
      <c r="Z3">
        <f>oct!Z3-sep!Z3</f>
        <v>0</v>
      </c>
      <c r="AA3">
        <f>oct!AA3-sep!AA3</f>
        <v>0</v>
      </c>
      <c r="AB3">
        <f>oct!AB3-sep!AB3</f>
        <v>0</v>
      </c>
      <c r="AC3">
        <f>oct!AC3-sep!AC3</f>
        <v>0</v>
      </c>
      <c r="AD3">
        <f>oct!AD3-sep!AD3</f>
        <v>0</v>
      </c>
      <c r="AE3">
        <f>oct!AE3-sep!AE3</f>
        <v>0</v>
      </c>
      <c r="AF3">
        <f>oct!AF3-sep!AF3</f>
        <v>0</v>
      </c>
    </row>
    <row r="4" spans="1:32" x14ac:dyDescent="0.35">
      <c r="A4" t="s">
        <v>34</v>
      </c>
      <c r="B4" t="s">
        <v>32</v>
      </c>
      <c r="C4">
        <v>-1</v>
      </c>
      <c r="D4">
        <f>oct!D4-sep!D4</f>
        <v>0</v>
      </c>
      <c r="E4">
        <f>oct!E4-sep!E4</f>
        <v>0</v>
      </c>
      <c r="F4">
        <f>oct!F4-sep!F4</f>
        <v>0</v>
      </c>
      <c r="G4">
        <f>oct!G4-sep!G4</f>
        <v>0</v>
      </c>
      <c r="H4">
        <f>oct!H4-sep!H4</f>
        <v>0</v>
      </c>
      <c r="I4">
        <f>oct!I4-sep!I4</f>
        <v>0</v>
      </c>
      <c r="J4">
        <f>oct!J4-sep!J4</f>
        <v>0</v>
      </c>
      <c r="K4">
        <f>oct!K4-sep!K4</f>
        <v>0</v>
      </c>
      <c r="L4">
        <f>oct!L4-sep!L4</f>
        <v>0</v>
      </c>
      <c r="M4">
        <f>oct!M4-sep!M4</f>
        <v>0</v>
      </c>
      <c r="N4">
        <f>oct!N4-sep!N4</f>
        <v>0</v>
      </c>
      <c r="O4">
        <f>oct!O4-sep!O4</f>
        <v>0</v>
      </c>
      <c r="P4">
        <f>oct!P4-sep!P4</f>
        <v>0</v>
      </c>
      <c r="Q4">
        <f>oct!Q4-sep!Q4</f>
        <v>0</v>
      </c>
      <c r="R4">
        <f>oct!R4-sep!R4</f>
        <v>0</v>
      </c>
      <c r="S4">
        <f>oct!S4-sep!S4</f>
        <v>0</v>
      </c>
      <c r="T4">
        <f>oct!T4-sep!T4</f>
        <v>0</v>
      </c>
      <c r="U4">
        <f>oct!U4-sep!U4</f>
        <v>0</v>
      </c>
      <c r="V4">
        <f>oct!V4-sep!V4</f>
        <v>0</v>
      </c>
      <c r="W4">
        <f>oct!W4-sep!W4</f>
        <v>0</v>
      </c>
      <c r="X4">
        <f>oct!X4-sep!X4</f>
        <v>0</v>
      </c>
      <c r="Y4">
        <f>oct!Y4-sep!Y4</f>
        <v>0</v>
      </c>
      <c r="Z4">
        <f>oct!Z4-sep!Z4</f>
        <v>0</v>
      </c>
      <c r="AA4">
        <f>oct!AA4-sep!AA4</f>
        <v>0</v>
      </c>
      <c r="AB4">
        <f>oct!AB4-sep!AB4</f>
        <v>0</v>
      </c>
      <c r="AC4">
        <f>oct!AC4-sep!AC4</f>
        <v>0</v>
      </c>
      <c r="AD4">
        <f>oct!AD4-sep!AD4</f>
        <v>0</v>
      </c>
      <c r="AE4">
        <f>oct!AE4-sep!AE4</f>
        <v>0</v>
      </c>
      <c r="AF4">
        <f>oct!AF4-sep!AF4</f>
        <v>0</v>
      </c>
    </row>
    <row r="5" spans="1:32" x14ac:dyDescent="0.35">
      <c r="A5" t="s">
        <v>35</v>
      </c>
      <c r="B5" t="s">
        <v>32</v>
      </c>
      <c r="C5">
        <v>-1</v>
      </c>
      <c r="D5">
        <f>oct!D5-sep!D5</f>
        <v>0</v>
      </c>
      <c r="E5">
        <f>oct!E5-sep!E5</f>
        <v>0</v>
      </c>
      <c r="F5">
        <f>oct!F5-sep!F5</f>
        <v>0</v>
      </c>
      <c r="G5">
        <f>oct!G5-sep!G5</f>
        <v>0</v>
      </c>
      <c r="H5">
        <f>oct!H5-sep!H5</f>
        <v>0</v>
      </c>
      <c r="I5">
        <f>oct!I5-sep!I5</f>
        <v>0</v>
      </c>
      <c r="J5">
        <f>oct!J5-sep!J5</f>
        <v>0</v>
      </c>
      <c r="K5">
        <f>oct!K5-sep!K5</f>
        <v>0</v>
      </c>
      <c r="L5">
        <f>oct!L5-sep!L5</f>
        <v>0</v>
      </c>
      <c r="M5">
        <f>oct!M5-sep!M5</f>
        <v>0</v>
      </c>
      <c r="N5">
        <f>oct!N5-sep!N5</f>
        <v>0</v>
      </c>
      <c r="O5">
        <f>oct!O5-sep!O5</f>
        <v>0</v>
      </c>
      <c r="P5">
        <f>oct!P5-sep!P5</f>
        <v>0</v>
      </c>
      <c r="Q5">
        <f>oct!Q5-sep!Q5</f>
        <v>0</v>
      </c>
      <c r="R5">
        <f>oct!R5-sep!R5</f>
        <v>0</v>
      </c>
      <c r="S5">
        <f>oct!S5-sep!S5</f>
        <v>0</v>
      </c>
      <c r="T5">
        <f>oct!T5-sep!T5</f>
        <v>0</v>
      </c>
      <c r="U5">
        <f>oct!U5-sep!U5</f>
        <v>0</v>
      </c>
      <c r="V5">
        <f>oct!V5-sep!V5</f>
        <v>0</v>
      </c>
      <c r="W5">
        <f>oct!W5-sep!W5</f>
        <v>0</v>
      </c>
      <c r="X5">
        <f>oct!X5-sep!X5</f>
        <v>0</v>
      </c>
      <c r="Y5">
        <f>oct!Y5-sep!Y5</f>
        <v>0</v>
      </c>
      <c r="Z5">
        <f>oct!Z5-sep!Z5</f>
        <v>0</v>
      </c>
      <c r="AA5">
        <f>oct!AA5-sep!AA5</f>
        <v>0</v>
      </c>
      <c r="AB5">
        <f>oct!AB5-sep!AB5</f>
        <v>0</v>
      </c>
      <c r="AC5">
        <f>oct!AC5-sep!AC5</f>
        <v>0</v>
      </c>
      <c r="AD5">
        <f>oct!AD5-sep!AD5</f>
        <v>0</v>
      </c>
      <c r="AE5">
        <f>oct!AE5-sep!AE5</f>
        <v>0</v>
      </c>
      <c r="AF5">
        <f>oct!AF5-sep!AF5</f>
        <v>0</v>
      </c>
    </row>
    <row r="6" spans="1:32" x14ac:dyDescent="0.35">
      <c r="A6" t="s">
        <v>36</v>
      </c>
      <c r="B6" t="s">
        <v>32</v>
      </c>
      <c r="C6">
        <v>-1</v>
      </c>
      <c r="D6">
        <f>oct!D6-sep!D6</f>
        <v>0</v>
      </c>
      <c r="E6">
        <f>oct!E6-sep!E6</f>
        <v>0</v>
      </c>
      <c r="F6">
        <f>oct!F6-sep!F6</f>
        <v>0</v>
      </c>
      <c r="G6">
        <f>oct!G6-sep!G6</f>
        <v>0</v>
      </c>
      <c r="H6">
        <f>oct!H6-sep!H6</f>
        <v>0</v>
      </c>
      <c r="I6">
        <f>oct!I6-sep!I6</f>
        <v>0</v>
      </c>
      <c r="J6">
        <f>oct!J6-sep!J6</f>
        <v>0</v>
      </c>
      <c r="K6">
        <f>oct!K6-sep!K6</f>
        <v>0</v>
      </c>
      <c r="L6">
        <f>oct!L6-sep!L6</f>
        <v>0</v>
      </c>
      <c r="M6">
        <f>oct!M6-sep!M6</f>
        <v>0</v>
      </c>
      <c r="N6">
        <f>oct!N6-sep!N6</f>
        <v>0</v>
      </c>
      <c r="O6">
        <f>oct!O6-sep!O6</f>
        <v>0</v>
      </c>
      <c r="P6">
        <f>oct!P6-sep!P6</f>
        <v>0</v>
      </c>
      <c r="Q6">
        <f>oct!Q6-sep!Q6</f>
        <v>0</v>
      </c>
      <c r="R6">
        <f>oct!R6-sep!R6</f>
        <v>0</v>
      </c>
      <c r="S6">
        <f>oct!S6-sep!S6</f>
        <v>0</v>
      </c>
      <c r="T6">
        <f>oct!T6-sep!T6</f>
        <v>0</v>
      </c>
      <c r="U6">
        <f>oct!U6-sep!U6</f>
        <v>0</v>
      </c>
      <c r="V6">
        <f>oct!V6-sep!V6</f>
        <v>0</v>
      </c>
      <c r="W6">
        <f>oct!W6-sep!W6</f>
        <v>0</v>
      </c>
      <c r="X6">
        <f>oct!X6-sep!X6</f>
        <v>0</v>
      </c>
      <c r="Y6">
        <f>oct!Y6-sep!Y6</f>
        <v>0</v>
      </c>
      <c r="Z6">
        <f>oct!Z6-sep!Z6</f>
        <v>0</v>
      </c>
      <c r="AA6">
        <f>oct!AA6-sep!AA6</f>
        <v>0</v>
      </c>
      <c r="AB6">
        <f>oct!AB6-sep!AB6</f>
        <v>0</v>
      </c>
      <c r="AC6">
        <f>oct!AC6-sep!AC6</f>
        <v>0</v>
      </c>
      <c r="AD6">
        <f>oct!AD6-sep!AD6</f>
        <v>0</v>
      </c>
      <c r="AE6">
        <f>oct!AE6-sep!AE6</f>
        <v>0</v>
      </c>
      <c r="AF6">
        <f>oct!AF6-sep!AF6</f>
        <v>0</v>
      </c>
    </row>
    <row r="7" spans="1:32" x14ac:dyDescent="0.35">
      <c r="A7" t="s">
        <v>37</v>
      </c>
      <c r="B7" t="s">
        <v>32</v>
      </c>
      <c r="C7">
        <v>-1</v>
      </c>
      <c r="D7">
        <f>oct!D7-sep!D7</f>
        <v>0</v>
      </c>
      <c r="E7">
        <f>oct!E7-sep!E7</f>
        <v>0</v>
      </c>
      <c r="F7">
        <f>oct!F7-sep!F7</f>
        <v>0</v>
      </c>
      <c r="G7">
        <f>oct!G7-sep!G7</f>
        <v>0</v>
      </c>
      <c r="H7">
        <f>oct!H7-sep!H7</f>
        <v>0</v>
      </c>
      <c r="I7">
        <f>oct!I7-sep!I7</f>
        <v>0</v>
      </c>
      <c r="J7">
        <f>oct!J7-sep!J7</f>
        <v>0</v>
      </c>
      <c r="K7">
        <f>oct!K7-sep!K7</f>
        <v>0</v>
      </c>
      <c r="L7">
        <f>oct!L7-sep!L7</f>
        <v>0</v>
      </c>
      <c r="M7">
        <f>oct!M7-sep!M7</f>
        <v>0</v>
      </c>
      <c r="N7">
        <f>oct!N7-sep!N7</f>
        <v>0</v>
      </c>
      <c r="O7">
        <f>oct!O7-sep!O7</f>
        <v>0</v>
      </c>
      <c r="P7">
        <f>oct!P7-sep!P7</f>
        <v>0</v>
      </c>
      <c r="Q7">
        <f>oct!Q7-sep!Q7</f>
        <v>0</v>
      </c>
      <c r="R7">
        <f>oct!R7-sep!R7</f>
        <v>0</v>
      </c>
      <c r="S7">
        <f>oct!S7-sep!S7</f>
        <v>0</v>
      </c>
      <c r="T7">
        <f>oct!T7-sep!T7</f>
        <v>0</v>
      </c>
      <c r="U7">
        <f>oct!U7-sep!U7</f>
        <v>0</v>
      </c>
      <c r="V7">
        <f>oct!V7-sep!V7</f>
        <v>0</v>
      </c>
      <c r="W7">
        <f>oct!W7-sep!W7</f>
        <v>0</v>
      </c>
      <c r="X7">
        <f>oct!X7-sep!X7</f>
        <v>0</v>
      </c>
      <c r="Y7">
        <f>oct!Y7-sep!Y7</f>
        <v>0</v>
      </c>
      <c r="Z7">
        <f>oct!Z7-sep!Z7</f>
        <v>0</v>
      </c>
      <c r="AA7">
        <f>oct!AA7-sep!AA7</f>
        <v>0</v>
      </c>
      <c r="AB7">
        <f>oct!AB7-sep!AB7</f>
        <v>0</v>
      </c>
      <c r="AC7">
        <f>oct!AC7-sep!AC7</f>
        <v>0</v>
      </c>
      <c r="AD7">
        <f>oct!AD7-sep!AD7</f>
        <v>0</v>
      </c>
      <c r="AE7">
        <f>oct!AE7-sep!AE7</f>
        <v>0</v>
      </c>
      <c r="AF7">
        <f>oct!AF7-sep!AF7</f>
        <v>0</v>
      </c>
    </row>
    <row r="8" spans="1:32" x14ac:dyDescent="0.35">
      <c r="A8" t="s">
        <v>38</v>
      </c>
      <c r="B8" t="s">
        <v>32</v>
      </c>
      <c r="C8">
        <v>-1</v>
      </c>
      <c r="D8">
        <f>oct!D8-sep!D8</f>
        <v>0</v>
      </c>
      <c r="E8">
        <f>oct!E8-sep!E8</f>
        <v>0</v>
      </c>
      <c r="F8">
        <f>oct!F8-sep!F8</f>
        <v>0</v>
      </c>
      <c r="G8">
        <f>oct!G8-sep!G8</f>
        <v>0</v>
      </c>
      <c r="H8">
        <f>oct!H8-sep!H8</f>
        <v>0</v>
      </c>
      <c r="I8">
        <f>oct!I8-sep!I8</f>
        <v>0</v>
      </c>
      <c r="J8">
        <f>oct!J8-sep!J8</f>
        <v>0</v>
      </c>
      <c r="K8">
        <f>oct!K8-sep!K8</f>
        <v>0</v>
      </c>
      <c r="L8">
        <f>oct!L8-sep!L8</f>
        <v>0</v>
      </c>
      <c r="M8">
        <f>oct!M8-sep!M8</f>
        <v>0</v>
      </c>
      <c r="N8">
        <f>oct!N8-sep!N8</f>
        <v>0</v>
      </c>
      <c r="O8">
        <f>oct!O8-sep!O8</f>
        <v>0</v>
      </c>
      <c r="P8">
        <f>oct!P8-sep!P8</f>
        <v>0</v>
      </c>
      <c r="Q8">
        <f>oct!Q8-sep!Q8</f>
        <v>0</v>
      </c>
      <c r="R8">
        <f>oct!R8-sep!R8</f>
        <v>0</v>
      </c>
      <c r="S8">
        <f>oct!S8-sep!S8</f>
        <v>0</v>
      </c>
      <c r="T8">
        <f>oct!T8-sep!T8</f>
        <v>0</v>
      </c>
      <c r="U8">
        <f>oct!U8-sep!U8</f>
        <v>0</v>
      </c>
      <c r="V8">
        <f>oct!V8-sep!V8</f>
        <v>0</v>
      </c>
      <c r="W8">
        <f>oct!W8-sep!W8</f>
        <v>0</v>
      </c>
      <c r="X8">
        <f>oct!X8-sep!X8</f>
        <v>0</v>
      </c>
      <c r="Y8">
        <f>oct!Y8-sep!Y8</f>
        <v>0</v>
      </c>
      <c r="Z8">
        <f>oct!Z8-sep!Z8</f>
        <v>0</v>
      </c>
      <c r="AA8">
        <f>oct!AA8-sep!AA8</f>
        <v>0</v>
      </c>
      <c r="AB8">
        <f>oct!AB8-sep!AB8</f>
        <v>0</v>
      </c>
      <c r="AC8">
        <f>oct!AC8-sep!AC8</f>
        <v>0</v>
      </c>
      <c r="AD8">
        <f>oct!AD8-sep!AD8</f>
        <v>0</v>
      </c>
      <c r="AE8">
        <f>oct!AE8-sep!AE8</f>
        <v>0</v>
      </c>
      <c r="AF8">
        <f>oct!AF8-sep!AF8</f>
        <v>0</v>
      </c>
    </row>
    <row r="9" spans="1:32" x14ac:dyDescent="0.35">
      <c r="A9" t="s">
        <v>39</v>
      </c>
      <c r="B9" t="s">
        <v>32</v>
      </c>
      <c r="C9">
        <v>-1</v>
      </c>
      <c r="D9">
        <f>oct!D9-sep!D9</f>
        <v>0</v>
      </c>
      <c r="E9">
        <f>oct!E9-sep!E9</f>
        <v>0</v>
      </c>
      <c r="F9">
        <f>oct!F9-sep!F9</f>
        <v>0</v>
      </c>
      <c r="G9">
        <f>oct!G9-sep!G9</f>
        <v>0</v>
      </c>
      <c r="H9">
        <f>oct!H9-sep!H9</f>
        <v>0</v>
      </c>
      <c r="I9">
        <f>oct!I9-sep!I9</f>
        <v>0</v>
      </c>
      <c r="J9">
        <f>oct!J9-sep!J9</f>
        <v>0</v>
      </c>
      <c r="K9">
        <f>oct!K9-sep!K9</f>
        <v>0</v>
      </c>
      <c r="L9">
        <f>oct!L9-sep!L9</f>
        <v>0</v>
      </c>
      <c r="M9">
        <f>oct!M9-sep!M9</f>
        <v>0</v>
      </c>
      <c r="N9">
        <f>oct!N9-sep!N9</f>
        <v>0</v>
      </c>
      <c r="O9">
        <f>oct!O9-sep!O9</f>
        <v>0</v>
      </c>
      <c r="P9">
        <f>oct!P9-sep!P9</f>
        <v>0</v>
      </c>
      <c r="Q9">
        <f>oct!Q9-sep!Q9</f>
        <v>0</v>
      </c>
      <c r="R9">
        <f>oct!R9-sep!R9</f>
        <v>0</v>
      </c>
      <c r="S9">
        <f>oct!S9-sep!S9</f>
        <v>0</v>
      </c>
      <c r="T9">
        <f>oct!T9-sep!T9</f>
        <v>0</v>
      </c>
      <c r="U9">
        <f>oct!U9-sep!U9</f>
        <v>0</v>
      </c>
      <c r="V9">
        <f>oct!V9-sep!V9</f>
        <v>0</v>
      </c>
      <c r="W9">
        <f>oct!W9-sep!W9</f>
        <v>0</v>
      </c>
      <c r="X9">
        <f>oct!X9-sep!X9</f>
        <v>0</v>
      </c>
      <c r="Y9">
        <f>oct!Y9-sep!Y9</f>
        <v>0</v>
      </c>
      <c r="Z9">
        <f>oct!Z9-sep!Z9</f>
        <v>0</v>
      </c>
      <c r="AA9">
        <f>oct!AA9-sep!AA9</f>
        <v>0</v>
      </c>
      <c r="AB9">
        <f>oct!AB9-sep!AB9</f>
        <v>0</v>
      </c>
      <c r="AC9">
        <f>oct!AC9-sep!AC9</f>
        <v>0</v>
      </c>
      <c r="AD9">
        <f>oct!AD9-sep!AD9</f>
        <v>0</v>
      </c>
      <c r="AE9">
        <f>oct!AE9-sep!AE9</f>
        <v>0</v>
      </c>
      <c r="AF9">
        <f>oct!AF9-sep!AF9</f>
        <v>0</v>
      </c>
    </row>
    <row r="10" spans="1:32" x14ac:dyDescent="0.35">
      <c r="A10" t="s">
        <v>40</v>
      </c>
      <c r="B10" t="s">
        <v>32</v>
      </c>
      <c r="C10">
        <v>-1</v>
      </c>
      <c r="D10">
        <f>oct!D10-sep!D10</f>
        <v>0</v>
      </c>
      <c r="E10">
        <f>oct!E10-sep!E10</f>
        <v>0</v>
      </c>
      <c r="F10">
        <f>oct!F10-sep!F10</f>
        <v>0</v>
      </c>
      <c r="G10">
        <f>oct!G10-sep!G10</f>
        <v>0</v>
      </c>
      <c r="H10">
        <f>oct!H10-sep!H10</f>
        <v>0</v>
      </c>
      <c r="I10">
        <f>oct!I10-sep!I10</f>
        <v>0</v>
      </c>
      <c r="J10">
        <f>oct!J10-sep!J10</f>
        <v>0</v>
      </c>
      <c r="K10">
        <f>oct!K10-sep!K10</f>
        <v>0</v>
      </c>
      <c r="L10">
        <f>oct!L10-sep!L10</f>
        <v>0</v>
      </c>
      <c r="M10">
        <f>oct!M10-sep!M10</f>
        <v>0</v>
      </c>
      <c r="N10">
        <f>oct!N10-sep!N10</f>
        <v>0</v>
      </c>
      <c r="O10">
        <f>oct!O10-sep!O10</f>
        <v>0</v>
      </c>
      <c r="P10">
        <f>oct!P10-sep!P10</f>
        <v>0</v>
      </c>
      <c r="Q10">
        <f>oct!Q10-sep!Q10</f>
        <v>0</v>
      </c>
      <c r="R10">
        <f>oct!R10-sep!R10</f>
        <v>0</v>
      </c>
      <c r="S10">
        <f>oct!S10-sep!S10</f>
        <v>0</v>
      </c>
      <c r="T10">
        <f>oct!T10-sep!T10</f>
        <v>0</v>
      </c>
      <c r="U10">
        <f>oct!U10-sep!U10</f>
        <v>0</v>
      </c>
      <c r="V10">
        <f>oct!V10-sep!V10</f>
        <v>0</v>
      </c>
      <c r="W10">
        <f>oct!W10-sep!W10</f>
        <v>0</v>
      </c>
      <c r="X10">
        <f>oct!X10-sep!X10</f>
        <v>0</v>
      </c>
      <c r="Y10">
        <f>oct!Y10-sep!Y10</f>
        <v>0</v>
      </c>
      <c r="Z10">
        <f>oct!Z10-sep!Z10</f>
        <v>0</v>
      </c>
      <c r="AA10">
        <f>oct!AA10-sep!AA10</f>
        <v>0</v>
      </c>
      <c r="AB10">
        <f>oct!AB10-sep!AB10</f>
        <v>0</v>
      </c>
      <c r="AC10">
        <f>oct!AC10-sep!AC10</f>
        <v>0</v>
      </c>
      <c r="AD10">
        <f>oct!AD10-sep!AD10</f>
        <v>0</v>
      </c>
      <c r="AE10">
        <f>oct!AE10-sep!AE10</f>
        <v>0</v>
      </c>
      <c r="AF10">
        <f>oct!AF10-sep!AF10</f>
        <v>0</v>
      </c>
    </row>
    <row r="11" spans="1:32" x14ac:dyDescent="0.35">
      <c r="A11" t="s">
        <v>41</v>
      </c>
      <c r="B11" t="s">
        <v>42</v>
      </c>
      <c r="C11">
        <v>0</v>
      </c>
      <c r="D11">
        <f>oct!D11-sep!D11</f>
        <v>-0.16127596485245363</v>
      </c>
      <c r="E11">
        <f>oct!E11-sep!E11</f>
        <v>0</v>
      </c>
      <c r="F11">
        <f>oct!F11-sep!F11</f>
        <v>0</v>
      </c>
      <c r="G11">
        <f>oct!G11-sep!G11</f>
        <v>0</v>
      </c>
      <c r="H11">
        <f>oct!H11-sep!H11</f>
        <v>0</v>
      </c>
      <c r="I11">
        <f>oct!I11-sep!I11</f>
        <v>-6.9165516747246997E-2</v>
      </c>
      <c r="J11">
        <f>oct!J11-sep!J11</f>
        <v>0</v>
      </c>
      <c r="K11">
        <f>oct!K11-sep!K11</f>
        <v>3.2285601845377987E-2</v>
      </c>
      <c r="L11">
        <f>oct!L11-sep!L11</f>
        <v>0</v>
      </c>
      <c r="M11">
        <f>oct!M11-sep!M11</f>
        <v>0</v>
      </c>
      <c r="N11">
        <f>oct!N11-sep!N11</f>
        <v>0</v>
      </c>
      <c r="O11">
        <f>oct!O11-sep!O11</f>
        <v>0</v>
      </c>
      <c r="P11">
        <f>oct!P11-sep!P11</f>
        <v>0</v>
      </c>
      <c r="Q11">
        <f>oct!Q11-sep!Q11</f>
        <v>0</v>
      </c>
      <c r="R11">
        <f>oct!R11-sep!R11</f>
        <v>0</v>
      </c>
      <c r="S11">
        <f>oct!S11-sep!S11</f>
        <v>0</v>
      </c>
      <c r="T11">
        <f>oct!T11-sep!T11</f>
        <v>0</v>
      </c>
      <c r="U11">
        <f>oct!U11-sep!U11</f>
        <v>0</v>
      </c>
      <c r="V11">
        <f>oct!V11-sep!V11</f>
        <v>0</v>
      </c>
      <c r="W11">
        <f>oct!W11-sep!W11</f>
        <v>0</v>
      </c>
      <c r="X11">
        <f>oct!X11-sep!X11</f>
        <v>0</v>
      </c>
      <c r="Y11">
        <f>oct!Y11-sep!Y11</f>
        <v>-0.1612759648524538</v>
      </c>
      <c r="Z11">
        <f>oct!Z11-sep!Z11</f>
        <v>0</v>
      </c>
      <c r="AA11">
        <f>oct!AA11-sep!AA11</f>
        <v>-6.9165884337612005E-2</v>
      </c>
      <c r="AB11">
        <f>oct!AB11-sep!AB11</f>
        <v>-3.6759036500799702E-7</v>
      </c>
      <c r="AC11">
        <f>oct!AC11-sep!AC11</f>
        <v>3.2263762787674011E-2</v>
      </c>
      <c r="AD11">
        <f>oct!AD11-sep!AD11</f>
        <v>-3.6719976560654011E-2</v>
      </c>
      <c r="AE11">
        <f>oct!AE11-sep!AE11</f>
        <v>-0.1979959414131072</v>
      </c>
      <c r="AF11">
        <f>oct!AF11-sep!AF11</f>
        <v>-4.9498985353277014E-2</v>
      </c>
    </row>
    <row r="12" spans="1:32" x14ac:dyDescent="0.35">
      <c r="A12" t="s">
        <v>43</v>
      </c>
      <c r="B12" t="s">
        <v>42</v>
      </c>
      <c r="C12">
        <v>0</v>
      </c>
      <c r="D12">
        <f>oct!D12-sep!D12</f>
        <v>-0.45946407969859826</v>
      </c>
      <c r="E12">
        <f>oct!E12-sep!E12</f>
        <v>0</v>
      </c>
      <c r="F12">
        <f>oct!F12-sep!F12</f>
        <v>0</v>
      </c>
      <c r="G12">
        <f>oct!G12-sep!G12</f>
        <v>0</v>
      </c>
      <c r="H12">
        <f>oct!H12-sep!H12</f>
        <v>0</v>
      </c>
      <c r="I12">
        <f>oct!I12-sep!I12</f>
        <v>6.9255221489331706E-2</v>
      </c>
      <c r="J12">
        <f>oct!J12-sep!J12</f>
        <v>0</v>
      </c>
      <c r="K12">
        <f>oct!K12-sep!K12</f>
        <v>6.4306155381242014E-2</v>
      </c>
      <c r="L12">
        <f>oct!L12-sep!L12</f>
        <v>0</v>
      </c>
      <c r="M12">
        <f>oct!M12-sep!M12</f>
        <v>0</v>
      </c>
      <c r="N12">
        <f>oct!N12-sep!N12</f>
        <v>0</v>
      </c>
      <c r="O12">
        <f>oct!O12-sep!O12</f>
        <v>0</v>
      </c>
      <c r="P12">
        <f>oct!P12-sep!P12</f>
        <v>0</v>
      </c>
      <c r="Q12">
        <f>oct!Q12-sep!Q12</f>
        <v>0</v>
      </c>
      <c r="R12">
        <f>oct!R12-sep!R12</f>
        <v>0</v>
      </c>
      <c r="S12">
        <f>oct!S12-sep!S12</f>
        <v>0</v>
      </c>
      <c r="T12">
        <f>oct!T12-sep!T12</f>
        <v>0</v>
      </c>
      <c r="U12">
        <f>oct!U12-sep!U12</f>
        <v>0</v>
      </c>
      <c r="V12">
        <f>oct!V12-sep!V12</f>
        <v>0</v>
      </c>
      <c r="W12">
        <f>oct!W12-sep!W12</f>
        <v>0</v>
      </c>
      <c r="X12">
        <f>oct!X12-sep!X12</f>
        <v>0</v>
      </c>
      <c r="Y12">
        <f>oct!Y12-sep!Y12</f>
        <v>-0.45946407969859804</v>
      </c>
      <c r="Z12">
        <f>oct!Z12-sep!Z12</f>
        <v>0</v>
      </c>
      <c r="AA12">
        <f>oct!AA12-sep!AA12</f>
        <v>6.9325003031048493E-2</v>
      </c>
      <c r="AB12">
        <f>oct!AB12-sep!AB12</f>
        <v>6.9781541716801287E-5</v>
      </c>
      <c r="AC12">
        <f>oct!AC12-sep!AC12</f>
        <v>6.4182005644273954E-2</v>
      </c>
      <c r="AD12">
        <f>oct!AD12-sep!AD12</f>
        <v>-0.76677053204464052</v>
      </c>
      <c r="AE12">
        <f>oct!AE12-sep!AE12</f>
        <v>-1.2262346117432359</v>
      </c>
      <c r="AF12">
        <f>oct!AF12-sep!AF12</f>
        <v>-0.35605763828908704</v>
      </c>
    </row>
    <row r="13" spans="1:32" x14ac:dyDescent="0.35">
      <c r="A13" t="s">
        <v>44</v>
      </c>
      <c r="B13" t="s">
        <v>42</v>
      </c>
      <c r="C13">
        <v>0</v>
      </c>
      <c r="D13">
        <f>oct!D13-sep!D13</f>
        <v>0.59764743927240005</v>
      </c>
      <c r="E13">
        <f>oct!E13-sep!E13</f>
        <v>0</v>
      </c>
      <c r="F13">
        <f>oct!F13-sep!F13</f>
        <v>0</v>
      </c>
      <c r="G13">
        <f>oct!G13-sep!G13</f>
        <v>0</v>
      </c>
      <c r="H13">
        <f>oct!H13-sep!H13</f>
        <v>0</v>
      </c>
      <c r="I13">
        <f>oct!I13-sep!I13</f>
        <v>0</v>
      </c>
      <c r="J13">
        <f>oct!J13-sep!J13</f>
        <v>0</v>
      </c>
      <c r="K13">
        <f>oct!K13-sep!K13</f>
        <v>0.1196959305110336</v>
      </c>
      <c r="L13">
        <f>oct!L13-sep!L13</f>
        <v>0</v>
      </c>
      <c r="M13">
        <f>oct!M13-sep!M13</f>
        <v>0</v>
      </c>
      <c r="N13">
        <f>oct!N13-sep!N13</f>
        <v>0</v>
      </c>
      <c r="O13">
        <f>oct!O13-sep!O13</f>
        <v>0</v>
      </c>
      <c r="P13">
        <f>oct!P13-sep!P13</f>
        <v>0</v>
      </c>
      <c r="Q13">
        <f>oct!Q13-sep!Q13</f>
        <v>0</v>
      </c>
      <c r="R13">
        <f>oct!R13-sep!R13</f>
        <v>0</v>
      </c>
      <c r="S13">
        <f>oct!S13-sep!S13</f>
        <v>0</v>
      </c>
      <c r="T13">
        <f>oct!T13-sep!T13</f>
        <v>0</v>
      </c>
      <c r="U13">
        <f>oct!U13-sep!U13</f>
        <v>0</v>
      </c>
      <c r="V13">
        <f>oct!V13-sep!V13</f>
        <v>0</v>
      </c>
      <c r="W13">
        <f>oct!W13-sep!W13</f>
        <v>0</v>
      </c>
      <c r="X13">
        <f>oct!X13-sep!X13</f>
        <v>0</v>
      </c>
      <c r="Y13">
        <f>oct!Y13-sep!Y13</f>
        <v>0.59764743927239894</v>
      </c>
      <c r="Z13">
        <f>oct!Z13-sep!Z13</f>
        <v>0</v>
      </c>
      <c r="AA13">
        <f>oct!AA13-sep!AA13</f>
        <v>0</v>
      </c>
      <c r="AB13">
        <f>oct!AB13-sep!AB13</f>
        <v>0</v>
      </c>
      <c r="AC13">
        <f>oct!AC13-sep!AC13</f>
        <v>0.11933317072347299</v>
      </c>
      <c r="AD13">
        <f>oct!AD13-sep!AD13</f>
        <v>1.0190519603821011</v>
      </c>
      <c r="AE13">
        <f>oct!AE13-sep!AE13</f>
        <v>1.6166993996545038</v>
      </c>
      <c r="AF13">
        <f>oct!AF13-sep!AF13</f>
        <v>4.811721162453915E-2</v>
      </c>
    </row>
    <row r="14" spans="1:32" x14ac:dyDescent="0.35">
      <c r="A14" t="s">
        <v>45</v>
      </c>
      <c r="B14" t="s">
        <v>42</v>
      </c>
      <c r="C14">
        <v>0</v>
      </c>
      <c r="D14">
        <f>oct!D14-sep!D14</f>
        <v>0</v>
      </c>
      <c r="E14">
        <f>oct!E14-sep!E14</f>
        <v>0</v>
      </c>
      <c r="F14">
        <f>oct!F14-sep!F14</f>
        <v>0</v>
      </c>
      <c r="G14">
        <f>oct!G14-sep!G14</f>
        <v>0</v>
      </c>
      <c r="H14">
        <f>oct!H14-sep!H14</f>
        <v>0</v>
      </c>
      <c r="I14">
        <f>oct!I14-sep!I14</f>
        <v>0</v>
      </c>
      <c r="J14">
        <f>oct!J14-sep!J14</f>
        <v>0</v>
      </c>
      <c r="K14">
        <f>oct!K14-sep!K14</f>
        <v>0.1515607809034337</v>
      </c>
      <c r="L14">
        <f>oct!L14-sep!L14</f>
        <v>0</v>
      </c>
      <c r="M14">
        <f>oct!M14-sep!M14</f>
        <v>0</v>
      </c>
      <c r="N14">
        <f>oct!N14-sep!N14</f>
        <v>0</v>
      </c>
      <c r="O14">
        <f>oct!O14-sep!O14</f>
        <v>0</v>
      </c>
      <c r="P14">
        <f>oct!P14-sep!P14</f>
        <v>0</v>
      </c>
      <c r="Q14">
        <f>oct!Q14-sep!Q14</f>
        <v>0</v>
      </c>
      <c r="R14">
        <f>oct!R14-sep!R14</f>
        <v>0</v>
      </c>
      <c r="S14">
        <f>oct!S14-sep!S14</f>
        <v>0</v>
      </c>
      <c r="T14">
        <f>oct!T14-sep!T14</f>
        <v>0</v>
      </c>
      <c r="U14">
        <f>oct!U14-sep!U14</f>
        <v>0</v>
      </c>
      <c r="V14">
        <f>oct!V14-sep!V14</f>
        <v>0</v>
      </c>
      <c r="W14">
        <f>oct!W14-sep!W14</f>
        <v>0</v>
      </c>
      <c r="X14">
        <f>oct!X14-sep!X14</f>
        <v>0</v>
      </c>
      <c r="Y14">
        <f>oct!Y14-sep!Y14</f>
        <v>0</v>
      </c>
      <c r="Z14">
        <f>oct!Z14-sep!Z14</f>
        <v>0</v>
      </c>
      <c r="AA14">
        <f>oct!AA14-sep!AA14</f>
        <v>0</v>
      </c>
      <c r="AB14">
        <f>oct!AB14-sep!AB14</f>
        <v>0</v>
      </c>
      <c r="AC14">
        <f>oct!AC14-sep!AC14</f>
        <v>0.15120680590266139</v>
      </c>
      <c r="AD14">
        <f>oct!AD14-sep!AD14</f>
        <v>0.15087155181026407</v>
      </c>
      <c r="AE14">
        <f>oct!AE14-sep!AE14</f>
        <v>0.15087155181026429</v>
      </c>
      <c r="AF14">
        <f>oct!AF14-sep!AF14</f>
        <v>8.58350995771055E-2</v>
      </c>
    </row>
    <row r="15" spans="1:32" x14ac:dyDescent="0.35">
      <c r="A15" t="s">
        <v>46</v>
      </c>
      <c r="B15" t="s">
        <v>42</v>
      </c>
      <c r="C15">
        <v>0</v>
      </c>
      <c r="D15">
        <f>oct!D15-sep!D15</f>
        <v>0</v>
      </c>
      <c r="E15">
        <f>oct!E15-sep!E15</f>
        <v>0</v>
      </c>
      <c r="F15">
        <f>oct!F15-sep!F15</f>
        <v>0</v>
      </c>
      <c r="G15">
        <f>oct!G15-sep!G15</f>
        <v>0</v>
      </c>
      <c r="H15">
        <f>oct!H15-sep!H15</f>
        <v>0</v>
      </c>
      <c r="I15">
        <f>oct!I15-sep!I15</f>
        <v>0</v>
      </c>
      <c r="J15">
        <f>oct!J15-sep!J15</f>
        <v>0</v>
      </c>
      <c r="K15">
        <f>oct!K15-sep!K15</f>
        <v>0.15091506306019148</v>
      </c>
      <c r="L15">
        <f>oct!L15-sep!L15</f>
        <v>0</v>
      </c>
      <c r="M15">
        <f>oct!M15-sep!M15</f>
        <v>0</v>
      </c>
      <c r="N15">
        <f>oct!N15-sep!N15</f>
        <v>0</v>
      </c>
      <c r="O15">
        <f>oct!O15-sep!O15</f>
        <v>0</v>
      </c>
      <c r="P15">
        <f>oct!P15-sep!P15</f>
        <v>0</v>
      </c>
      <c r="Q15">
        <f>oct!Q15-sep!Q15</f>
        <v>0</v>
      </c>
      <c r="R15">
        <f>oct!R15-sep!R15</f>
        <v>0</v>
      </c>
      <c r="S15">
        <f>oct!S15-sep!S15</f>
        <v>0</v>
      </c>
      <c r="T15">
        <f>oct!T15-sep!T15</f>
        <v>0</v>
      </c>
      <c r="U15">
        <f>oct!U15-sep!U15</f>
        <v>0</v>
      </c>
      <c r="V15">
        <f>oct!V15-sep!V15</f>
        <v>0</v>
      </c>
      <c r="W15">
        <f>oct!W15-sep!W15</f>
        <v>0</v>
      </c>
      <c r="X15">
        <f>oct!X15-sep!X15</f>
        <v>0</v>
      </c>
      <c r="Y15">
        <f>oct!Y15-sep!Y15</f>
        <v>0</v>
      </c>
      <c r="Z15">
        <f>oct!Z15-sep!Z15</f>
        <v>0</v>
      </c>
      <c r="AA15">
        <f>oct!AA15-sep!AA15</f>
        <v>0</v>
      </c>
      <c r="AB15">
        <f>oct!AB15-sep!AB15</f>
        <v>0</v>
      </c>
      <c r="AC15">
        <f>oct!AC15-sep!AC15</f>
        <v>0.15068249927349331</v>
      </c>
      <c r="AD15">
        <f>oct!AD15-sep!AD15</f>
        <v>0.15059382834605028</v>
      </c>
      <c r="AE15">
        <f>oct!AE15-sep!AE15</f>
        <v>0.15059382834605028</v>
      </c>
      <c r="AF15">
        <f>oct!AF15-sep!AF15</f>
        <v>0.17298254201689511</v>
      </c>
    </row>
    <row r="16" spans="1:32" x14ac:dyDescent="0.35">
      <c r="A16" t="s">
        <v>47</v>
      </c>
      <c r="B16" t="s">
        <v>42</v>
      </c>
      <c r="C16">
        <v>0</v>
      </c>
      <c r="D16">
        <f>oct!D16-sep!D16</f>
        <v>0</v>
      </c>
      <c r="E16">
        <f>oct!E16-sep!E16</f>
        <v>0</v>
      </c>
      <c r="F16">
        <f>oct!F16-sep!F16</f>
        <v>0</v>
      </c>
      <c r="G16">
        <f>oct!G16-sep!G16</f>
        <v>0</v>
      </c>
      <c r="H16">
        <f>oct!H16-sep!H16</f>
        <v>0</v>
      </c>
      <c r="I16">
        <f>oct!I16-sep!I16</f>
        <v>0</v>
      </c>
      <c r="J16">
        <f>oct!J16-sep!J16</f>
        <v>0</v>
      </c>
      <c r="K16">
        <f>oct!K16-sep!K16</f>
        <v>0.1514487536863596</v>
      </c>
      <c r="L16">
        <f>oct!L16-sep!L16</f>
        <v>0</v>
      </c>
      <c r="M16">
        <f>oct!M16-sep!M16</f>
        <v>0</v>
      </c>
      <c r="N16">
        <f>oct!N16-sep!N16</f>
        <v>0</v>
      </c>
      <c r="O16">
        <f>oct!O16-sep!O16</f>
        <v>0</v>
      </c>
      <c r="P16">
        <f>oct!P16-sep!P16</f>
        <v>0</v>
      </c>
      <c r="Q16">
        <f>oct!Q16-sep!Q16</f>
        <v>0</v>
      </c>
      <c r="R16">
        <f>oct!R16-sep!R16</f>
        <v>0</v>
      </c>
      <c r="S16">
        <f>oct!S16-sep!S16</f>
        <v>0</v>
      </c>
      <c r="T16">
        <f>oct!T16-sep!T16</f>
        <v>0</v>
      </c>
      <c r="U16">
        <f>oct!U16-sep!U16</f>
        <v>0</v>
      </c>
      <c r="V16">
        <f>oct!V16-sep!V16</f>
        <v>0</v>
      </c>
      <c r="W16">
        <f>oct!W16-sep!W16</f>
        <v>0</v>
      </c>
      <c r="X16">
        <f>oct!X16-sep!X16</f>
        <v>0</v>
      </c>
      <c r="Y16">
        <f>oct!Y16-sep!Y16</f>
        <v>0</v>
      </c>
      <c r="Z16">
        <f>oct!Z16-sep!Z16</f>
        <v>0</v>
      </c>
      <c r="AA16">
        <f>oct!AA16-sep!AA16</f>
        <v>0</v>
      </c>
      <c r="AB16">
        <f>oct!AB16-sep!AB16</f>
        <v>0</v>
      </c>
      <c r="AC16">
        <f>oct!AC16-sep!AC16</f>
        <v>0.15129350800447539</v>
      </c>
      <c r="AD16">
        <f>oct!AD16-sep!AD16</f>
        <v>0.1513481760423285</v>
      </c>
      <c r="AE16">
        <f>oct!AE16-sep!AE16</f>
        <v>0.15134817604232798</v>
      </c>
      <c r="AF16">
        <f>oct!AF16-sep!AF16</f>
        <v>0.51737823896328672</v>
      </c>
    </row>
    <row r="17" spans="1:32" x14ac:dyDescent="0.35">
      <c r="A17" t="s">
        <v>48</v>
      </c>
      <c r="B17" t="s">
        <v>42</v>
      </c>
      <c r="C17">
        <v>0</v>
      </c>
      <c r="D17">
        <f>oct!D17-sep!D17</f>
        <v>0</v>
      </c>
      <c r="E17">
        <f>oct!E17-sep!E17</f>
        <v>0</v>
      </c>
      <c r="F17">
        <f>oct!F17-sep!F17</f>
        <v>0</v>
      </c>
      <c r="G17">
        <f>oct!G17-sep!G17</f>
        <v>0</v>
      </c>
      <c r="H17">
        <f>oct!H17-sep!H17</f>
        <v>0</v>
      </c>
      <c r="I17">
        <f>oct!I17-sep!I17</f>
        <v>-6.8310905449873005E-2</v>
      </c>
      <c r="J17">
        <f>oct!J17-sep!J17</f>
        <v>0</v>
      </c>
      <c r="K17">
        <f>oct!K17-sep!K17</f>
        <v>0.12978618062576341</v>
      </c>
      <c r="L17">
        <f>oct!L17-sep!L17</f>
        <v>0</v>
      </c>
      <c r="M17">
        <f>oct!M17-sep!M17</f>
        <v>0</v>
      </c>
      <c r="N17">
        <f>oct!N17-sep!N17</f>
        <v>0</v>
      </c>
      <c r="O17">
        <f>oct!O17-sep!O17</f>
        <v>0</v>
      </c>
      <c r="P17">
        <f>oct!P17-sep!P17</f>
        <v>0</v>
      </c>
      <c r="Q17">
        <f>oct!Q17-sep!Q17</f>
        <v>0</v>
      </c>
      <c r="R17">
        <f>oct!R17-sep!R17</f>
        <v>0</v>
      </c>
      <c r="S17">
        <f>oct!S17-sep!S17</f>
        <v>0</v>
      </c>
      <c r="T17">
        <f>oct!T17-sep!T17</f>
        <v>0</v>
      </c>
      <c r="U17">
        <f>oct!U17-sep!U17</f>
        <v>0</v>
      </c>
      <c r="V17">
        <f>oct!V17-sep!V17</f>
        <v>0</v>
      </c>
      <c r="W17">
        <f>oct!W17-sep!W17</f>
        <v>0</v>
      </c>
      <c r="X17">
        <f>oct!X17-sep!X17</f>
        <v>0</v>
      </c>
      <c r="Y17">
        <f>oct!Y17-sep!Y17</f>
        <v>0</v>
      </c>
      <c r="Z17">
        <f>oct!Z17-sep!Z17</f>
        <v>0</v>
      </c>
      <c r="AA17">
        <f>oct!AA17-sep!AA17</f>
        <v>-6.8376958588790004E-2</v>
      </c>
      <c r="AB17">
        <f>oct!AB17-sep!AB17</f>
        <v>-6.6053138916999377E-5</v>
      </c>
      <c r="AC17">
        <f>oct!AC17-sep!AC17</f>
        <v>0.12965011394337211</v>
      </c>
      <c r="AD17">
        <f>oct!AD17-sep!AD17</f>
        <v>6.1832246602944008E-2</v>
      </c>
      <c r="AE17">
        <f>oct!AE17-sep!AE17</f>
        <v>6.1832246602944008E-2</v>
      </c>
      <c r="AF17">
        <f>oct!AF17-sep!AF17</f>
        <v>0.12866145070039697</v>
      </c>
    </row>
    <row r="18" spans="1:32" x14ac:dyDescent="0.35">
      <c r="A18" t="s">
        <v>49</v>
      </c>
      <c r="B18" t="s">
        <v>42</v>
      </c>
      <c r="C18">
        <v>0</v>
      </c>
      <c r="D18">
        <f>oct!D18-sep!D18</f>
        <v>0</v>
      </c>
      <c r="E18">
        <f>oct!E18-sep!E18</f>
        <v>0</v>
      </c>
      <c r="F18">
        <f>oct!F18-sep!F18</f>
        <v>0</v>
      </c>
      <c r="G18">
        <f>oct!G18-sep!G18</f>
        <v>0</v>
      </c>
      <c r="H18">
        <f>oct!H18-sep!H18</f>
        <v>0</v>
      </c>
      <c r="I18">
        <f>oct!I18-sep!I18</f>
        <v>-5.4078297398276964E-2</v>
      </c>
      <c r="J18">
        <f>oct!J18-sep!J18</f>
        <v>0</v>
      </c>
      <c r="K18">
        <f>oct!K18-sep!K18</f>
        <v>0.1300855465359948</v>
      </c>
      <c r="L18">
        <f>oct!L18-sep!L18</f>
        <v>0</v>
      </c>
      <c r="M18">
        <f>oct!M18-sep!M18</f>
        <v>0</v>
      </c>
      <c r="N18">
        <f>oct!N18-sep!N18</f>
        <v>0</v>
      </c>
      <c r="O18">
        <f>oct!O18-sep!O18</f>
        <v>0</v>
      </c>
      <c r="P18">
        <f>oct!P18-sep!P18</f>
        <v>0</v>
      </c>
      <c r="Q18">
        <f>oct!Q18-sep!Q18</f>
        <v>0</v>
      </c>
      <c r="R18">
        <f>oct!R18-sep!R18</f>
        <v>0</v>
      </c>
      <c r="S18">
        <f>oct!S18-sep!S18</f>
        <v>0</v>
      </c>
      <c r="T18">
        <f>oct!T18-sep!T18</f>
        <v>0</v>
      </c>
      <c r="U18">
        <f>oct!U18-sep!U18</f>
        <v>0</v>
      </c>
      <c r="V18">
        <f>oct!V18-sep!V18</f>
        <v>0</v>
      </c>
      <c r="W18">
        <f>oct!W18-sep!W18</f>
        <v>0</v>
      </c>
      <c r="X18">
        <f>oct!X18-sep!X18</f>
        <v>0</v>
      </c>
      <c r="Y18">
        <f>oct!Y18-sep!Y18</f>
        <v>0</v>
      </c>
      <c r="Z18">
        <f>oct!Z18-sep!Z18</f>
        <v>0</v>
      </c>
      <c r="AA18">
        <f>oct!AA18-sep!AA18</f>
        <v>-5.4028033425734007E-2</v>
      </c>
      <c r="AB18">
        <f>oct!AB18-sep!AB18</f>
        <v>5.0263972542957669E-5</v>
      </c>
      <c r="AC18">
        <f>oct!AC18-sep!AC18</f>
        <v>0.12996026470782218</v>
      </c>
      <c r="AD18">
        <f>oct!AD18-sep!AD18</f>
        <v>7.6365515039879983E-2</v>
      </c>
      <c r="AE18">
        <f>oct!AE18-sep!AE18</f>
        <v>7.6365515039878984E-2</v>
      </c>
      <c r="AF18">
        <f>oct!AF18-sep!AF18</f>
        <v>0.11003494150780002</v>
      </c>
    </row>
    <row r="20" spans="1:32" x14ac:dyDescent="0.35">
      <c r="K20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oct</vt:lpstr>
      <vt:lpstr>sep</vt:lpstr>
      <vt:lpstr>dif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CParry</dc:creator>
  <cp:lastModifiedBy>Chase Parry</cp:lastModifiedBy>
  <dcterms:created xsi:type="dcterms:W3CDTF">2025-11-04T16:09:21Z</dcterms:created>
  <dcterms:modified xsi:type="dcterms:W3CDTF">2025-11-04T16:25:32Z</dcterms:modified>
</cp:coreProperties>
</file>