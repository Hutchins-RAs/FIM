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Parry\Downloads\FIM\results\10-2025\beta\"/>
    </mc:Choice>
  </mc:AlternateContent>
  <xr:revisionPtr revIDLastSave="0" documentId="13_ncr:1_{61CA9A03-3492-496B-9F0B-88C2506F1E9A}" xr6:coauthVersionLast="47" xr6:coauthVersionMax="47" xr10:uidLastSave="{00000000-0000-0000-0000-000000000000}"/>
  <bookViews>
    <workbookView xWindow="14985" yWindow="-163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2" i="1"/>
  <c r="AC3" i="1"/>
  <c r="AC4" i="1"/>
  <c r="AC5" i="1"/>
  <c r="AC6" i="1"/>
  <c r="AC7" i="1"/>
  <c r="AC8" i="1"/>
  <c r="AC9" i="1"/>
  <c r="AC10" i="1"/>
  <c r="AC2" i="1"/>
  <c r="F2" i="1"/>
  <c r="F3" i="1"/>
  <c r="F4" i="1"/>
  <c r="F5" i="1"/>
  <c r="F6" i="1"/>
  <c r="F7" i="1"/>
  <c r="F8" i="1"/>
  <c r="F9" i="1"/>
  <c r="F10" i="1"/>
</calcChain>
</file>

<file path=xl/sharedStrings.xml><?xml version="1.0" encoding="utf-8"?>
<sst xmlns="http://schemas.openxmlformats.org/spreadsheetml/2006/main" count="52" uniqueCount="45">
  <si>
    <t>date</t>
  </si>
  <si>
    <t>id</t>
  </si>
  <si>
    <t>recession</t>
  </si>
  <si>
    <t>federal_purchases_contribution</t>
  </si>
  <si>
    <t>state_purchases_contribution</t>
  </si>
  <si>
    <t>federal_non_corporate_taxes_contribution</t>
  </si>
  <si>
    <t>state_non_corporate_taxes_contribution</t>
  </si>
  <si>
    <t>federal_corporate_taxes_contribution</t>
  </si>
  <si>
    <t>supply_side_ira_contribution</t>
  </si>
  <si>
    <t>state_corporate_taxes_contribution</t>
  </si>
  <si>
    <t>federal_social_benefits_contribution</t>
  </si>
  <si>
    <t>state_social_benefits_contribution</t>
  </si>
  <si>
    <t>rebate_checks_contribution</t>
  </si>
  <si>
    <t>rebate_checks_arp_contribution</t>
  </si>
  <si>
    <t>federal_ui_contribution</t>
  </si>
  <si>
    <t>state_ui_contribution</t>
  </si>
  <si>
    <t>federal_subsidies_contribution</t>
  </si>
  <si>
    <t>federal_aid_to_small_businesses_arp_contribution</t>
  </si>
  <si>
    <t>federal_other_direct_aid_arp_contribution</t>
  </si>
  <si>
    <t>federal_other_vulnerable_arp_contribution</t>
  </si>
  <si>
    <t>federal_student_loans_contribution</t>
  </si>
  <si>
    <t>state_subsidies_contribution</t>
  </si>
  <si>
    <t>federal_health_outlays_contribution</t>
  </si>
  <si>
    <t>state_health_outlays_contribution</t>
  </si>
  <si>
    <t>federal_contribution</t>
  </si>
  <si>
    <t>state_contribution</t>
  </si>
  <si>
    <t>taxes_contribution</t>
  </si>
  <si>
    <t>transfers_contribution</t>
  </si>
  <si>
    <t>consumption_contribution</t>
  </si>
  <si>
    <t>fiscal_impact_measure</t>
  </si>
  <si>
    <t>fiscal_impact_4q_ma</t>
  </si>
  <si>
    <t>historical</t>
  </si>
  <si>
    <t>2025 Q2</t>
  </si>
  <si>
    <t>2025 Q3</t>
  </si>
  <si>
    <t>projection</t>
  </si>
  <si>
    <t>2025 Q4</t>
  </si>
  <si>
    <t>2026 Q1</t>
  </si>
  <si>
    <t>2026 Q2</t>
  </si>
  <si>
    <t>2026 Q3</t>
  </si>
  <si>
    <t>2026 Q4</t>
  </si>
  <si>
    <t>2027 Q1</t>
  </si>
  <si>
    <t>2027 Q2</t>
  </si>
  <si>
    <t>purchases_contribution</t>
  </si>
  <si>
    <t>taxes_less_IRA</t>
  </si>
  <si>
    <t>transfers_less_student_loans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</si>
</sst>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"/>
  <sheetViews>
    <sheetView tabSelected="1" workbookViewId="0">
      <pane xSplit="3" ySplit="1" topLeftCell="O2" activePane="bottomRight" state="frozen"/>
      <selection pane="topRight" activeCell="D1" sqref="D1"/>
      <selection pane="bottomLeft" activeCell="A2" sqref="A2"/>
      <selection pane="bottomRight" activeCell="AG2" sqref="AG2:AG10"/>
    </sheetView>
  </sheetViews>
  <sheetFormatPr defaultColWidth="10.90625" defaultRowHeight="14.5" x14ac:dyDescent="0.35"/>
  <sheetData>
    <row r="1" spans="1:34" s="1" customFormat="1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43</v>
      </c>
      <c r="AD1" s="1" t="s">
        <v>27</v>
      </c>
      <c r="AE1" s="1" t="s">
        <v>44</v>
      </c>
      <c r="AF1" s="1" t="s">
        <v>28</v>
      </c>
      <c r="AG1" s="1" t="s">
        <v>29</v>
      </c>
      <c r="AH1" s="1" t="s">
        <v>30</v>
      </c>
    </row>
    <row r="2" spans="1:34" x14ac:dyDescent="0.35">
      <c r="A2" t="s">
        <v>32</v>
      </c>
      <c r="B2" t="s">
        <v>31</v>
      </c>
      <c r="C2">
        <v>-1</v>
      </c>
      <c r="D2">
        <v>-0.49659070787292697</v>
      </c>
      <c r="E2">
        <v>9.0506589373416602E-2</v>
      </c>
      <c r="F2">
        <f t="shared" ref="F2:F10" si="0">D2+E2</f>
        <v>-0.40608411849951037</v>
      </c>
      <c r="G2">
        <v>-0.49360351627841198</v>
      </c>
      <c r="H2">
        <v>-3.9331912203167403E-2</v>
      </c>
      <c r="I2">
        <v>7.0579943690931299E-3</v>
      </c>
      <c r="J2">
        <v>0.187169199391747</v>
      </c>
      <c r="K2">
        <v>1.9233387701995601E-3</v>
      </c>
      <c r="L2">
        <v>0.46724310870124203</v>
      </c>
      <c r="M2">
        <v>-1.45027864177198E-2</v>
      </c>
      <c r="N2">
        <v>0</v>
      </c>
      <c r="O2">
        <v>-9.4949894815243602E-2</v>
      </c>
      <c r="P2">
        <v>0</v>
      </c>
      <c r="Q2">
        <v>1.8247773810152401E-3</v>
      </c>
      <c r="R2">
        <v>-9.49991988352311E-2</v>
      </c>
      <c r="S2">
        <v>-2.6737310243037899E-2</v>
      </c>
      <c r="T2">
        <v>-1.3483429468480799E-2</v>
      </c>
      <c r="U2">
        <v>-1.00208283497742E-2</v>
      </c>
      <c r="V2">
        <v>-2.3738219379538301E-2</v>
      </c>
      <c r="W2">
        <v>-1.03804464936561E-3</v>
      </c>
      <c r="X2">
        <v>0.285016460293538</v>
      </c>
      <c r="Y2">
        <v>-2.99527412765348E-2</v>
      </c>
      <c r="Z2">
        <v>-0.94596316734547603</v>
      </c>
      <c r="AA2">
        <v>0.53987904884596605</v>
      </c>
      <c r="AB2">
        <v>-0.33591118113824903</v>
      </c>
      <c r="AC2">
        <f>AB2-J2</f>
        <v>-0.52308038052999606</v>
      </c>
      <c r="AD2">
        <v>0.44530218131426502</v>
      </c>
      <c r="AE2">
        <f>AD2-V2</f>
        <v>0.46904040069380332</v>
      </c>
      <c r="AF2">
        <v>-0.189041894533449</v>
      </c>
      <c r="AG2">
        <v>-0.59512601303295898</v>
      </c>
      <c r="AH2">
        <v>1.92879091055238E-2</v>
      </c>
    </row>
    <row r="3" spans="1:34" x14ac:dyDescent="0.35">
      <c r="A3" t="s">
        <v>33</v>
      </c>
      <c r="B3" t="s">
        <v>34</v>
      </c>
      <c r="C3">
        <v>0</v>
      </c>
      <c r="D3">
        <v>1.83533240147938E-3</v>
      </c>
      <c r="E3">
        <v>-0.18895750920943799</v>
      </c>
      <c r="F3">
        <f t="shared" si="0"/>
        <v>-0.18712217680795862</v>
      </c>
      <c r="G3">
        <v>-0.225617648258191</v>
      </c>
      <c r="H3">
        <v>3.1964415242308503E-2</v>
      </c>
      <c r="I3">
        <v>0.18570531800002099</v>
      </c>
      <c r="J3">
        <v>0.11283214357551299</v>
      </c>
      <c r="K3">
        <v>6.9886573575032003E-3</v>
      </c>
      <c r="L3">
        <v>0.26976939094510399</v>
      </c>
      <c r="M3">
        <v>-2.4409454094093301E-4</v>
      </c>
      <c r="N3">
        <v>0</v>
      </c>
      <c r="O3">
        <v>-9.9896093511049611E-4</v>
      </c>
      <c r="P3">
        <v>0</v>
      </c>
      <c r="Q3">
        <v>-8.3673707460128807E-3</v>
      </c>
      <c r="R3">
        <v>-7.46265037458759E-2</v>
      </c>
      <c r="S3">
        <v>-2.6048206028168701E-2</v>
      </c>
      <c r="T3">
        <v>-1.38103838239934E-2</v>
      </c>
      <c r="U3">
        <v>-8.5423386433022899E-3</v>
      </c>
      <c r="V3">
        <v>-2.9638323362874801E-2</v>
      </c>
      <c r="W3">
        <v>-5.2655433301352999E-4</v>
      </c>
      <c r="X3">
        <v>0.22450059422556301</v>
      </c>
      <c r="Y3">
        <v>1.9343238159436999E-3</v>
      </c>
      <c r="Z3">
        <v>-5.0493882615879802E-2</v>
      </c>
      <c r="AA3">
        <v>-0.136628294192079</v>
      </c>
      <c r="AB3">
        <v>0.112330310625844</v>
      </c>
      <c r="AC3">
        <f t="shared" ref="AC3:AC10" si="1">AB3-J3</f>
        <v>-5.0183294966898995E-4</v>
      </c>
      <c r="AD3">
        <v>0.333503920049117</v>
      </c>
      <c r="AE3">
        <f t="shared" ref="AE3:AE10" si="2">AD3-V3</f>
        <v>0.36314224341199181</v>
      </c>
      <c r="AF3">
        <v>0.145437851515373</v>
      </c>
      <c r="AG3">
        <v>-4.16843252925862E-2</v>
      </c>
      <c r="AH3">
        <v>-0.15258368006572101</v>
      </c>
    </row>
    <row r="4" spans="1:34" x14ac:dyDescent="0.35">
      <c r="A4" t="s">
        <v>35</v>
      </c>
      <c r="B4" t="s">
        <v>34</v>
      </c>
      <c r="C4">
        <v>0</v>
      </c>
      <c r="D4">
        <v>-0.40818665265298099</v>
      </c>
      <c r="E4">
        <v>-0.18797856990234901</v>
      </c>
      <c r="F4">
        <f t="shared" si="0"/>
        <v>-0.59616522255533</v>
      </c>
      <c r="G4">
        <v>-0.18376482299076699</v>
      </c>
      <c r="H4">
        <v>1.2855036336618801E-2</v>
      </c>
      <c r="I4">
        <v>6.5942042814213703E-2</v>
      </c>
      <c r="J4">
        <v>0.14035275365848901</v>
      </c>
      <c r="K4">
        <v>9.6981954247357793E-3</v>
      </c>
      <c r="L4">
        <v>0.21821118449858201</v>
      </c>
      <c r="M4">
        <v>2.68155371055342E-2</v>
      </c>
      <c r="N4">
        <v>0</v>
      </c>
      <c r="O4">
        <v>-9.7192310751689304E-4</v>
      </c>
      <c r="P4">
        <v>0</v>
      </c>
      <c r="Q4">
        <v>-7.7753445618424198E-3</v>
      </c>
      <c r="R4">
        <v>-3.6283497165518701E-2</v>
      </c>
      <c r="S4">
        <v>-3.9026383613157399E-3</v>
      </c>
      <c r="T4">
        <v>-1.28548485299851E-2</v>
      </c>
      <c r="U4">
        <v>-7.6754748377312098E-3</v>
      </c>
      <c r="V4">
        <v>-2.4548492152382501E-2</v>
      </c>
      <c r="W4">
        <v>-4.45468017451337E-4</v>
      </c>
      <c r="X4">
        <v>0.22947080428754399</v>
      </c>
      <c r="Y4">
        <v>2.0152617978004699E-2</v>
      </c>
      <c r="Z4">
        <v>-0.51253608394316297</v>
      </c>
      <c r="AA4">
        <v>-8.3629138612166795E-2</v>
      </c>
      <c r="AB4">
        <v>4.53797114197389E-2</v>
      </c>
      <c r="AC4">
        <f t="shared" si="1"/>
        <v>-9.4973042238750111E-2</v>
      </c>
      <c r="AD4">
        <v>0.39989251289800798</v>
      </c>
      <c r="AE4">
        <f t="shared" si="2"/>
        <v>0.42444100505039051</v>
      </c>
      <c r="AF4">
        <v>-0.75492012874145298</v>
      </c>
      <c r="AG4">
        <v>-1.35108535129678</v>
      </c>
      <c r="AH4">
        <v>-0.62676322102665405</v>
      </c>
    </row>
    <row r="5" spans="1:34" x14ac:dyDescent="0.35">
      <c r="A5" t="s">
        <v>36</v>
      </c>
      <c r="B5" t="s">
        <v>34</v>
      </c>
      <c r="C5">
        <v>0</v>
      </c>
      <c r="D5">
        <v>0.89353248872401803</v>
      </c>
      <c r="E5">
        <v>-0.18679326743754099</v>
      </c>
      <c r="F5">
        <f t="shared" si="0"/>
        <v>0.70673922128647704</v>
      </c>
      <c r="G5">
        <v>-0.157889086807043</v>
      </c>
      <c r="H5">
        <v>-5.17525296486206E-3</v>
      </c>
      <c r="I5">
        <v>6.3538307727449006E-2</v>
      </c>
      <c r="J5">
        <v>0.313882330011445</v>
      </c>
      <c r="K5">
        <v>6.5070205318474104E-3</v>
      </c>
      <c r="L5">
        <v>0.150319148575252</v>
      </c>
      <c r="M5">
        <v>4.0643938098240899E-2</v>
      </c>
      <c r="N5">
        <v>0</v>
      </c>
      <c r="O5">
        <v>-9.4783565666223799E-4</v>
      </c>
      <c r="P5">
        <v>0</v>
      </c>
      <c r="Q5">
        <v>-7.1485207788222101E-3</v>
      </c>
      <c r="R5">
        <v>-2.8042467224146102E-3</v>
      </c>
      <c r="S5">
        <v>-2.66767452900793E-3</v>
      </c>
      <c r="T5">
        <v>-1.4294821389197999E-2</v>
      </c>
      <c r="U5">
        <v>-7.0418371850735403E-3</v>
      </c>
      <c r="V5">
        <v>-2.2803875892856401E-2</v>
      </c>
      <c r="W5">
        <v>-4.11448413644342E-4</v>
      </c>
      <c r="X5">
        <v>0.27300490883686801</v>
      </c>
      <c r="Y5">
        <v>2.93317054991943E-2</v>
      </c>
      <c r="Z5">
        <v>0.84183310640180797</v>
      </c>
      <c r="AA5">
        <v>-0.13509388511533099</v>
      </c>
      <c r="AB5">
        <v>0.22128179875224799</v>
      </c>
      <c r="AC5">
        <f t="shared" si="1"/>
        <v>-9.2600531259197011E-2</v>
      </c>
      <c r="AD5">
        <v>0.43470650007238398</v>
      </c>
      <c r="AE5">
        <f t="shared" si="2"/>
        <v>0.45751037596524036</v>
      </c>
      <c r="AF5">
        <v>1.31496448042667</v>
      </c>
      <c r="AG5">
        <v>2.0217037017131498</v>
      </c>
      <c r="AH5">
        <v>8.4520030227058507E-3</v>
      </c>
    </row>
    <row r="6" spans="1:34" x14ac:dyDescent="0.35">
      <c r="A6" t="s">
        <v>37</v>
      </c>
      <c r="B6" t="s">
        <v>34</v>
      </c>
      <c r="C6">
        <v>0</v>
      </c>
      <c r="D6">
        <v>2.5063031368209299E-2</v>
      </c>
      <c r="E6">
        <v>-0.19788469881148801</v>
      </c>
      <c r="F6">
        <f t="shared" si="0"/>
        <v>-0.1728216674432787</v>
      </c>
      <c r="G6">
        <v>-0.108594546287687</v>
      </c>
      <c r="H6">
        <v>2.60357465574721E-3</v>
      </c>
      <c r="I6">
        <v>6.1199868765372603E-2</v>
      </c>
      <c r="J6">
        <v>0.24883676109205699</v>
      </c>
      <c r="K6">
        <v>4.4335969424576004E-3</v>
      </c>
      <c r="L6">
        <v>-5.1940570295064298E-2</v>
      </c>
      <c r="M6">
        <v>4.94236866899661E-2</v>
      </c>
      <c r="N6">
        <v>0</v>
      </c>
      <c r="O6">
        <v>0</v>
      </c>
      <c r="P6">
        <v>0</v>
      </c>
      <c r="Q6">
        <v>-7.6631956825140403E-3</v>
      </c>
      <c r="R6">
        <v>-9.3948558553592703E-5</v>
      </c>
      <c r="S6">
        <v>-2.2399328560741599E-3</v>
      </c>
      <c r="T6">
        <v>-9.8355115133880299E-3</v>
      </c>
      <c r="U6">
        <v>-6.46551279772871E-3</v>
      </c>
      <c r="V6">
        <v>-2.0976970786457501E-2</v>
      </c>
      <c r="W6">
        <v>-3.82465757702634E-4</v>
      </c>
      <c r="X6">
        <v>0.186608335863096</v>
      </c>
      <c r="Y6">
        <v>3.1639762071453803E-2</v>
      </c>
      <c r="Z6">
        <v>-5.9218055110206197E-2</v>
      </c>
      <c r="AA6">
        <v>-0.11360361233307199</v>
      </c>
      <c r="AB6">
        <v>0.20865971156872001</v>
      </c>
      <c r="AC6">
        <f t="shared" si="1"/>
        <v>-4.0177049523336977E-2</v>
      </c>
      <c r="AD6">
        <v>0.16814454714586699</v>
      </c>
      <c r="AE6">
        <f t="shared" si="2"/>
        <v>0.18912151793232448</v>
      </c>
      <c r="AF6">
        <v>0.23643146162113099</v>
      </c>
      <c r="AG6">
        <v>6.3609794177852799E-2</v>
      </c>
      <c r="AH6">
        <v>0.173135954825409</v>
      </c>
    </row>
    <row r="7" spans="1:34" x14ac:dyDescent="0.35">
      <c r="A7" t="s">
        <v>38</v>
      </c>
      <c r="B7" t="s">
        <v>34</v>
      </c>
      <c r="C7">
        <v>0</v>
      </c>
      <c r="D7">
        <v>-3.9419277329213298E-2</v>
      </c>
      <c r="E7">
        <v>-0.18767070266208299</v>
      </c>
      <c r="F7">
        <f t="shared" si="0"/>
        <v>-0.22708997999129629</v>
      </c>
      <c r="G7">
        <v>-0.107081655066805</v>
      </c>
      <c r="H7">
        <v>1.5495770924980201E-2</v>
      </c>
      <c r="I7">
        <v>6.6290283313533593E-2</v>
      </c>
      <c r="J7">
        <v>7.6554648901424605E-2</v>
      </c>
      <c r="K7">
        <v>3.7277292757793702E-3</v>
      </c>
      <c r="L7">
        <v>7.60708969489272E-2</v>
      </c>
      <c r="M7">
        <v>9.3675739065071095E-3</v>
      </c>
      <c r="N7">
        <v>0</v>
      </c>
      <c r="O7">
        <v>0</v>
      </c>
      <c r="P7">
        <v>0</v>
      </c>
      <c r="Q7">
        <v>-6.6907591403234396E-3</v>
      </c>
      <c r="R7">
        <v>6.0136996133741498E-4</v>
      </c>
      <c r="S7">
        <v>-2.8257296480183498E-3</v>
      </c>
      <c r="T7">
        <v>-6.7070295019788801E-3</v>
      </c>
      <c r="U7">
        <v>-5.76628720574865E-3</v>
      </c>
      <c r="V7">
        <v>-1.9015005404116901E-2</v>
      </c>
      <c r="W7">
        <v>-3.32772769679777E-4</v>
      </c>
      <c r="X7">
        <v>0.16994915028806101</v>
      </c>
      <c r="Y7">
        <v>5.6846796386391197E-3</v>
      </c>
      <c r="Z7">
        <v>-7.3368861520993006E-2</v>
      </c>
      <c r="AA7">
        <v>-0.15372111847030301</v>
      </c>
      <c r="AB7">
        <v>5.5087851799672398E-2</v>
      </c>
      <c r="AC7">
        <f t="shared" si="1"/>
        <v>-2.1466797101752207E-2</v>
      </c>
      <c r="AD7">
        <v>0.22026520761650101</v>
      </c>
      <c r="AE7">
        <f t="shared" si="2"/>
        <v>0.23928021302061792</v>
      </c>
      <c r="AF7">
        <v>0.13522345777167399</v>
      </c>
      <c r="AG7">
        <v>-9.1866522219622701E-2</v>
      </c>
      <c r="AH7">
        <v>0.16059040559365001</v>
      </c>
    </row>
    <row r="8" spans="1:34" x14ac:dyDescent="0.35">
      <c r="A8" t="s">
        <v>39</v>
      </c>
      <c r="B8" t="s">
        <v>34</v>
      </c>
      <c r="C8">
        <v>0</v>
      </c>
      <c r="D8">
        <v>-0.134754265364598</v>
      </c>
      <c r="E8">
        <v>-0.198482369960888</v>
      </c>
      <c r="F8">
        <f t="shared" si="0"/>
        <v>-0.33323663532548597</v>
      </c>
      <c r="G8">
        <v>-8.53676104400794E-2</v>
      </c>
      <c r="H8">
        <v>2.67850730649783E-2</v>
      </c>
      <c r="I8">
        <v>7.2346729876637594E-2</v>
      </c>
      <c r="J8">
        <v>-5.3219630374798398E-2</v>
      </c>
      <c r="K8">
        <v>5.4605074072783004E-3</v>
      </c>
      <c r="L8">
        <v>0.124508999772188</v>
      </c>
      <c r="M8">
        <v>9.4824810682655695E-3</v>
      </c>
      <c r="N8">
        <v>0</v>
      </c>
      <c r="O8">
        <v>0</v>
      </c>
      <c r="P8">
        <v>0</v>
      </c>
      <c r="Q8">
        <v>-5.5662077626494897E-3</v>
      </c>
      <c r="R8">
        <v>2.3570059463391998E-3</v>
      </c>
      <c r="S8">
        <v>-2.9728776926127998E-4</v>
      </c>
      <c r="T8">
        <v>-3.0653343091065401E-3</v>
      </c>
      <c r="U8">
        <v>-3.2052847720757198E-3</v>
      </c>
      <c r="V8">
        <v>-1.2025895631619E-2</v>
      </c>
      <c r="W8">
        <v>-3.2731495224799399E-4</v>
      </c>
      <c r="X8">
        <v>0.115959358088856</v>
      </c>
      <c r="Y8">
        <v>-7.1113242576673098E-3</v>
      </c>
      <c r="Z8">
        <v>-0.19354294611066999</v>
      </c>
      <c r="AA8">
        <v>-0.13969368921481601</v>
      </c>
      <c r="AB8">
        <v>-3.3915336615843603E-2</v>
      </c>
      <c r="AC8">
        <f t="shared" si="1"/>
        <v>1.9304293758954795E-2</v>
      </c>
      <c r="AD8">
        <v>0.220605703294071</v>
      </c>
      <c r="AE8">
        <f t="shared" si="2"/>
        <v>0.23263159892568999</v>
      </c>
      <c r="AF8">
        <v>4.67700700012115E-2</v>
      </c>
      <c r="AG8">
        <v>-0.286466565324275</v>
      </c>
      <c r="AH8">
        <v>0.42674510208677702</v>
      </c>
    </row>
    <row r="9" spans="1:34" x14ac:dyDescent="0.35">
      <c r="A9" t="s">
        <v>40</v>
      </c>
      <c r="B9" t="s">
        <v>34</v>
      </c>
      <c r="C9">
        <v>0</v>
      </c>
      <c r="D9">
        <v>-6.4067477393471503E-2</v>
      </c>
      <c r="E9">
        <v>-0.202712782891321</v>
      </c>
      <c r="F9">
        <f t="shared" si="0"/>
        <v>-0.26678026028479251</v>
      </c>
      <c r="G9">
        <v>-0.194568075207978</v>
      </c>
      <c r="H9">
        <v>1.8037615083389399E-2</v>
      </c>
      <c r="I9">
        <v>7.9777253147179095E-2</v>
      </c>
      <c r="J9">
        <v>-0.268558367932696</v>
      </c>
      <c r="K9">
        <v>5.53307401008943E-3</v>
      </c>
      <c r="L9">
        <v>0.118033903265312</v>
      </c>
      <c r="M9">
        <v>1.03984789268344E-2</v>
      </c>
      <c r="N9">
        <v>0</v>
      </c>
      <c r="O9">
        <v>0</v>
      </c>
      <c r="P9">
        <v>0</v>
      </c>
      <c r="Q9">
        <v>-2.8424159735486601E-3</v>
      </c>
      <c r="R9">
        <v>2.95299579862871E-3</v>
      </c>
      <c r="S9">
        <v>-2.9186795967888E-4</v>
      </c>
      <c r="T9">
        <v>-1.36738306873086E-3</v>
      </c>
      <c r="U9">
        <v>-1.8113138233232799E-3</v>
      </c>
      <c r="V9">
        <v>-1.14904795380124E-2</v>
      </c>
      <c r="W9">
        <v>-3.20879541638737E-4</v>
      </c>
      <c r="X9">
        <v>0.107258849208799</v>
      </c>
      <c r="Y9">
        <v>-3.9361823659811801E-3</v>
      </c>
      <c r="Z9">
        <v>-0.10882876740007601</v>
      </c>
      <c r="AA9">
        <v>-0.15795149288471599</v>
      </c>
      <c r="AB9">
        <v>-0.35984559837077401</v>
      </c>
      <c r="AC9">
        <f t="shared" si="1"/>
        <v>-9.1287230438078015E-2</v>
      </c>
      <c r="AD9">
        <v>0.21647096356999401</v>
      </c>
      <c r="AE9">
        <f t="shared" si="2"/>
        <v>0.22796144310800642</v>
      </c>
      <c r="AF9">
        <v>-0.18254656345056899</v>
      </c>
      <c r="AG9">
        <v>-0.44932682373536098</v>
      </c>
      <c r="AH9">
        <v>-0.19101252927535101</v>
      </c>
    </row>
    <row r="10" spans="1:34" x14ac:dyDescent="0.35">
      <c r="A10" t="s">
        <v>41</v>
      </c>
      <c r="B10" t="s">
        <v>34</v>
      </c>
      <c r="C10">
        <v>0</v>
      </c>
      <c r="D10">
        <v>-0.110727166879507</v>
      </c>
      <c r="E10">
        <v>-0.19118455586668001</v>
      </c>
      <c r="F10">
        <f t="shared" si="0"/>
        <v>-0.30191172274618699</v>
      </c>
      <c r="G10">
        <v>-2.9836760326829598E-2</v>
      </c>
      <c r="H10">
        <v>2.3800282989591699E-2</v>
      </c>
      <c r="I10">
        <v>8.8515383497522901E-2</v>
      </c>
      <c r="J10">
        <v>-0.36522951671457599</v>
      </c>
      <c r="K10">
        <v>4.6304890358173801E-3</v>
      </c>
      <c r="L10">
        <v>0.12270904877794001</v>
      </c>
      <c r="M10">
        <v>1.0613895333767401E-2</v>
      </c>
      <c r="N10">
        <v>0</v>
      </c>
      <c r="O10">
        <v>0</v>
      </c>
      <c r="P10">
        <v>0</v>
      </c>
      <c r="Q10">
        <v>-8.1672553494899301E-4</v>
      </c>
      <c r="R10">
        <v>2.5172321776731001E-3</v>
      </c>
      <c r="S10">
        <v>-2.8515852447727301E-4</v>
      </c>
      <c r="T10">
        <v>-1.0320556003754499E-3</v>
      </c>
      <c r="U10">
        <v>-1.5233461318852799E-3</v>
      </c>
      <c r="V10">
        <v>-9.5126456296744898E-3</v>
      </c>
      <c r="W10">
        <v>-3.1358356411214999E-4</v>
      </c>
      <c r="X10">
        <v>8.9169655673979206E-2</v>
      </c>
      <c r="Y10">
        <v>1.32367143557229E-3</v>
      </c>
      <c r="Z10">
        <v>-0.15456652081357</v>
      </c>
      <c r="AA10">
        <v>-0.14734520193261699</v>
      </c>
      <c r="AB10">
        <v>-0.27777126123557599</v>
      </c>
      <c r="AC10">
        <f t="shared" si="1"/>
        <v>8.7458255478999991E-2</v>
      </c>
      <c r="AD10">
        <v>0.21273202847000799</v>
      </c>
      <c r="AE10">
        <f t="shared" si="2"/>
        <v>0.22224467409968249</v>
      </c>
      <c r="AF10">
        <v>-0.104408206335068</v>
      </c>
      <c r="AG10">
        <v>-0.40631992908125503</v>
      </c>
      <c r="AH10">
        <v>-0.308494960090128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CParry</dc:creator>
  <cp:lastModifiedBy>Chase Parry</cp:lastModifiedBy>
  <dcterms:created xsi:type="dcterms:W3CDTF">2025-11-04T19:35:12Z</dcterms:created>
  <dcterms:modified xsi:type="dcterms:W3CDTF">2025-11-04T22:28:36Z</dcterms:modified>
</cp:coreProperties>
</file>