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Ahmad\Downloads\FIM\results\01-2026\beta\"/>
    </mc:Choice>
  </mc:AlternateContent>
  <xr:revisionPtr revIDLastSave="0" documentId="13_ncr:1_{9BB65E7F-D947-49C0-91C6-2BF00E27F221}" xr6:coauthVersionLast="47" xr6:coauthVersionMax="47" xr10:uidLastSave="{00000000-0000-0000-0000-000000000000}"/>
  <bookViews>
    <workbookView xWindow="-80" yWindow="-80" windowWidth="19360" windowHeight="11440" activeTab="2" xr2:uid="{00000000-000D-0000-FFFF-FFFF00000000}"/>
  </bookViews>
  <sheets>
    <sheet name="01-13" sheetId="1" r:id="rId1"/>
    <sheet name="12-05" sheetId="2" r:id="rId2"/>
    <sheet name="dif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2" i="3"/>
</calcChain>
</file>

<file path=xl/sharedStrings.xml><?xml version="1.0" encoding="utf-8"?>
<sst xmlns="http://schemas.openxmlformats.org/spreadsheetml/2006/main" count="260" uniqueCount="72">
  <si>
    <t>date</t>
  </si>
  <si>
    <t>id</t>
  </si>
  <si>
    <t>recession</t>
  </si>
  <si>
    <t>federal_purchases_deflator_growth</t>
  </si>
  <si>
    <t>consumption_grants_deflator_growth</t>
  </si>
  <si>
    <t>investment_grants_deflator_growth</t>
  </si>
  <si>
    <t>state_purchases_deflator_growth</t>
  </si>
  <si>
    <t>consumption_deflator_growth</t>
  </si>
  <si>
    <t>real_potential_gdp_growth</t>
  </si>
  <si>
    <t>gdp</t>
  </si>
  <si>
    <t>consumption</t>
  </si>
  <si>
    <t>uncertainty</t>
  </si>
  <si>
    <t>federal_purchases</t>
  </si>
  <si>
    <t>consumption_grants</t>
  </si>
  <si>
    <t>investment_grants</t>
  </si>
  <si>
    <t>state_purchases</t>
  </si>
  <si>
    <t>federal_non_corporate_taxes</t>
  </si>
  <si>
    <t>state_non_corporate_taxes</t>
  </si>
  <si>
    <t>federal_corporate_taxes</t>
  </si>
  <si>
    <t>supply_side_ira</t>
  </si>
  <si>
    <t>state_corporate_taxes</t>
  </si>
  <si>
    <t>federal_social_benefits</t>
  </si>
  <si>
    <t>state_social_benefits</t>
  </si>
  <si>
    <t>rebate_checks</t>
  </si>
  <si>
    <t>rebate_checks_arp</t>
  </si>
  <si>
    <t>federal_ui</t>
  </si>
  <si>
    <t>state_ui</t>
  </si>
  <si>
    <t>federal_subsidies</t>
  </si>
  <si>
    <t>federal_aid_to_small_businesses_arp</t>
  </si>
  <si>
    <t>federal_other_direct_aid_arp</t>
  </si>
  <si>
    <t>federal_other_vulnerable_arp</t>
  </si>
  <si>
    <t>federal_student_loans</t>
  </si>
  <si>
    <t>state_subsidies</t>
  </si>
  <si>
    <t>federal_health_outlays</t>
  </si>
  <si>
    <t>state_health_outlays</t>
  </si>
  <si>
    <t>post_mpc_federal_non_corporate_taxes</t>
  </si>
  <si>
    <t>post_mpc_state_non_corporate_taxes</t>
  </si>
  <si>
    <t>post_mpc_federal_corporate_taxes</t>
  </si>
  <si>
    <t>post_mpc_state_corporate_taxes</t>
  </si>
  <si>
    <t>post_mpc_federal_social_benefits</t>
  </si>
  <si>
    <t>post_mpc_state_social_benefits</t>
  </si>
  <si>
    <t>post_mpc_rebate_checks</t>
  </si>
  <si>
    <t>post_mpc_rebate_checks_arp</t>
  </si>
  <si>
    <t>post_mpc_federal_ui</t>
  </si>
  <si>
    <t>post_mpc_state_ui</t>
  </si>
  <si>
    <t>post_mpc_federal_subsidies</t>
  </si>
  <si>
    <t>post_mpc_federal_aid_to_small_businesses_arp</t>
  </si>
  <si>
    <t>post_mpc_federal_other_vulnerable_arp</t>
  </si>
  <si>
    <t>post_mpc_federal_student_loans</t>
  </si>
  <si>
    <t>post_mpc_state_subsidies</t>
  </si>
  <si>
    <t>post_mpc_federal_health_outlays</t>
  </si>
  <si>
    <t>post_mpc_state_health_outlays</t>
  </si>
  <si>
    <t>historical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</si>
  <si>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</si>
  <si>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</si>
  <si>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</si>
  <si>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</si>
  <si>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</si>
  <si>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</si>
  <si>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</si>
  <si>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</si>
  <si>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</si>
  <si>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</si>
  <si>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</si>
  <si>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projection</t>
  </si>
  <si>
    <t>2026 Q1</t>
  </si>
  <si>
    <t>2026 Q2</t>
  </si>
  <si>
    <t>2026 Q3</t>
  </si>
  <si>
    <t>2026 Q4</t>
  </si>
  <si>
    <t>2027 Q1</t>
  </si>
  <si>
    <t>2027 Q2</t>
  </si>
  <si>
    <t>2027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</si>
</sst>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9"/>
  <sheetViews>
    <sheetView workbookViewId="0">
      <selection activeCell="E28" sqref="E28"/>
    </sheetView>
  </sheetViews>
  <sheetFormatPr defaultColWidth="10.90625" defaultRowHeight="14.5" x14ac:dyDescent="0.35"/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53</v>
      </c>
      <c r="B2" t="s">
        <v>52</v>
      </c>
      <c r="C2">
        <v>-1</v>
      </c>
      <c r="D2">
        <v>6.5827180472672903E-3</v>
      </c>
      <c r="E2">
        <v>-7.3827308982719097E-3</v>
      </c>
      <c r="F2">
        <v>2.1322445276172899E-3</v>
      </c>
      <c r="G2">
        <v>-5.6211972522079998E-3</v>
      </c>
      <c r="H2">
        <v>7.3926308378313701E-3</v>
      </c>
      <c r="I2">
        <v>5.6240487747767397E-3</v>
      </c>
      <c r="J2">
        <v>27530.1</v>
      </c>
      <c r="K2">
        <v>18693.099999999999</v>
      </c>
      <c r="L2">
        <v>0</v>
      </c>
      <c r="M2">
        <v>1738.8</v>
      </c>
      <c r="N2">
        <v>436.07272</v>
      </c>
      <c r="O2">
        <v>76.015142857142905</v>
      </c>
      <c r="P2">
        <v>2934.6</v>
      </c>
      <c r="Q2">
        <v>4210.6000000000004</v>
      </c>
      <c r="R2">
        <v>2236.1</v>
      </c>
      <c r="S2">
        <v>415.5</v>
      </c>
      <c r="T2">
        <v>46.2453234375524</v>
      </c>
      <c r="U2">
        <v>170.2</v>
      </c>
      <c r="V2">
        <v>2006.4268571428599</v>
      </c>
      <c r="W2">
        <v>183.8</v>
      </c>
      <c r="X2">
        <v>0</v>
      </c>
      <c r="Y2">
        <v>0</v>
      </c>
      <c r="Z2">
        <v>0</v>
      </c>
      <c r="AA2">
        <v>32.799999999999997</v>
      </c>
      <c r="AB2">
        <v>101.3</v>
      </c>
      <c r="AC2">
        <v>12.726000000000001</v>
      </c>
      <c r="AD2">
        <v>1.4159999999999999</v>
      </c>
      <c r="AE2">
        <v>12</v>
      </c>
      <c r="AF2">
        <v>45</v>
      </c>
      <c r="AG2">
        <v>0.7</v>
      </c>
      <c r="AH2">
        <v>1659.9960000000001</v>
      </c>
      <c r="AI2">
        <v>267.10399999999998</v>
      </c>
      <c r="AJ2">
        <v>-2564.8380000000002</v>
      </c>
      <c r="AK2">
        <v>-1347.348</v>
      </c>
      <c r="AL2">
        <v>-144.40666666666701</v>
      </c>
      <c r="AM2">
        <v>-55.989999999999903</v>
      </c>
      <c r="AN2">
        <v>1790.1942428571399</v>
      </c>
      <c r="AO2">
        <v>188.1225</v>
      </c>
      <c r="AP2">
        <v>2.1783999999999999</v>
      </c>
      <c r="AQ2">
        <v>41.152999999999999</v>
      </c>
      <c r="AR2">
        <v>9.157</v>
      </c>
      <c r="AS2">
        <v>22.948</v>
      </c>
      <c r="AT2">
        <v>159.56190000000001</v>
      </c>
      <c r="AU2">
        <v>14.283010000000001</v>
      </c>
      <c r="AV2">
        <v>28.976026399999999</v>
      </c>
      <c r="AW2">
        <v>40.950000000000003</v>
      </c>
      <c r="AX2">
        <v>0.56789999999999996</v>
      </c>
      <c r="AY2">
        <v>1444.354425</v>
      </c>
      <c r="AZ2">
        <v>210.745575</v>
      </c>
    </row>
    <row r="3" spans="1:52" x14ac:dyDescent="0.35">
      <c r="A3" t="s">
        <v>54</v>
      </c>
      <c r="B3" t="s">
        <v>52</v>
      </c>
      <c r="C3">
        <v>-1</v>
      </c>
      <c r="D3">
        <v>9.4033912497384405E-3</v>
      </c>
      <c r="E3">
        <v>1.6732699313632499E-2</v>
      </c>
      <c r="F3">
        <v>3.5461795574054399E-4</v>
      </c>
      <c r="G3">
        <v>1.3706092737191901E-2</v>
      </c>
      <c r="H3">
        <v>6.7310092353773899E-3</v>
      </c>
      <c r="I3">
        <v>5.66871594180851E-3</v>
      </c>
      <c r="J3">
        <v>28074.799999999999</v>
      </c>
      <c r="K3">
        <v>18961.8</v>
      </c>
      <c r="L3">
        <v>0</v>
      </c>
      <c r="M3">
        <v>1784.4</v>
      </c>
      <c r="N3">
        <v>417.91594400000002</v>
      </c>
      <c r="O3">
        <v>76.015142857142905</v>
      </c>
      <c r="P3">
        <v>3005.4</v>
      </c>
      <c r="Q3">
        <v>4257.8999999999996</v>
      </c>
      <c r="R3">
        <v>2270.3000000000002</v>
      </c>
      <c r="S3">
        <v>428.4</v>
      </c>
      <c r="T3">
        <v>62.071265434561802</v>
      </c>
      <c r="U3">
        <v>168.5</v>
      </c>
      <c r="V3">
        <v>2016.4268571428599</v>
      </c>
      <c r="W3">
        <v>185.9</v>
      </c>
      <c r="X3">
        <v>0</v>
      </c>
      <c r="Y3">
        <v>0</v>
      </c>
      <c r="Z3">
        <v>0</v>
      </c>
      <c r="AA3">
        <v>34.9</v>
      </c>
      <c r="AB3">
        <v>103.5</v>
      </c>
      <c r="AC3">
        <v>12.726000000000001</v>
      </c>
      <c r="AD3">
        <v>1.4159999999999999</v>
      </c>
      <c r="AE3">
        <v>12</v>
      </c>
      <c r="AF3">
        <v>2.0815079999999999</v>
      </c>
      <c r="AG3">
        <v>0.7</v>
      </c>
      <c r="AH3">
        <v>1613.65</v>
      </c>
      <c r="AI3">
        <v>290.05</v>
      </c>
      <c r="AJ3">
        <v>-2589.1619999999998</v>
      </c>
      <c r="AK3">
        <v>-1357.6079999999999</v>
      </c>
      <c r="AL3">
        <v>-150.09666666666601</v>
      </c>
      <c r="AM3">
        <v>-58.886666666666599</v>
      </c>
      <c r="AN3">
        <v>1810.06238571429</v>
      </c>
      <c r="AO3">
        <v>184.0275</v>
      </c>
      <c r="AP3">
        <v>0</v>
      </c>
      <c r="AQ3">
        <v>41.152999999999999</v>
      </c>
      <c r="AR3">
        <v>0.67</v>
      </c>
      <c r="AS3">
        <v>26.181999999999999</v>
      </c>
      <c r="AT3">
        <v>136.667025</v>
      </c>
      <c r="AU3">
        <v>14.499352</v>
      </c>
      <c r="AV3">
        <v>22.994109999999999</v>
      </c>
      <c r="AW3">
        <v>32.3663016</v>
      </c>
      <c r="AX3">
        <v>0.5706</v>
      </c>
      <c r="AY3">
        <v>1456.9296750000001</v>
      </c>
      <c r="AZ3">
        <v>229.625325</v>
      </c>
    </row>
    <row r="4" spans="1:52" x14ac:dyDescent="0.35">
      <c r="A4" t="s">
        <v>55</v>
      </c>
      <c r="B4" t="s">
        <v>52</v>
      </c>
      <c r="C4">
        <v>-1</v>
      </c>
      <c r="D4">
        <v>7.0345422570261603E-3</v>
      </c>
      <c r="E4">
        <v>7.1349045804525201E-4</v>
      </c>
      <c r="F4">
        <v>3.2733964882640798E-3</v>
      </c>
      <c r="G4">
        <v>1.1916351882861301E-3</v>
      </c>
      <c r="H4">
        <v>4.5206985181696097E-3</v>
      </c>
      <c r="I4">
        <v>5.7213587002498097E-3</v>
      </c>
      <c r="J4">
        <v>28424.7</v>
      </c>
      <c r="K4">
        <v>19190.599999999999</v>
      </c>
      <c r="L4">
        <v>0</v>
      </c>
      <c r="M4">
        <v>1812</v>
      </c>
      <c r="N4">
        <v>434.04594400000002</v>
      </c>
      <c r="O4">
        <v>77.674142857142897</v>
      </c>
      <c r="P4">
        <v>3049</v>
      </c>
      <c r="Q4">
        <v>4302.2</v>
      </c>
      <c r="R4">
        <v>2301.1</v>
      </c>
      <c r="S4">
        <v>442.7</v>
      </c>
      <c r="T4">
        <v>68.312190099849303</v>
      </c>
      <c r="U4">
        <v>172.7</v>
      </c>
      <c r="V4">
        <v>2024.999</v>
      </c>
      <c r="W4">
        <v>189.5</v>
      </c>
      <c r="X4">
        <v>0</v>
      </c>
      <c r="Y4">
        <v>0</v>
      </c>
      <c r="Z4">
        <v>0</v>
      </c>
      <c r="AA4">
        <v>35.5</v>
      </c>
      <c r="AB4">
        <v>98</v>
      </c>
      <c r="AC4">
        <v>1.365</v>
      </c>
      <c r="AD4">
        <v>1.4790000000000001</v>
      </c>
      <c r="AE4">
        <v>4.2220000000000004</v>
      </c>
      <c r="AF4">
        <v>2.1006179999999999</v>
      </c>
      <c r="AG4">
        <v>0.7</v>
      </c>
      <c r="AH4">
        <v>1658.3879999999999</v>
      </c>
      <c r="AI4">
        <v>252.91200000000001</v>
      </c>
      <c r="AJ4">
        <v>-2609.9639999999999</v>
      </c>
      <c r="AK4">
        <v>-1367.9880000000001</v>
      </c>
      <c r="AL4">
        <v>-156.486666666666</v>
      </c>
      <c r="AM4">
        <v>-62.036666666666598</v>
      </c>
      <c r="AN4">
        <v>1814.99326071429</v>
      </c>
      <c r="AO4">
        <v>168.84</v>
      </c>
      <c r="AP4">
        <v>0</v>
      </c>
      <c r="AQ4">
        <v>41.152999999999999</v>
      </c>
      <c r="AR4">
        <v>0.17399999999999999</v>
      </c>
      <c r="AS4">
        <v>28.155000000000001</v>
      </c>
      <c r="AT4">
        <v>126.92700000000001</v>
      </c>
      <c r="AU4">
        <v>14.261253999999999</v>
      </c>
      <c r="AV4">
        <v>16.690380000000001</v>
      </c>
      <c r="AW4">
        <v>25.073979959999999</v>
      </c>
      <c r="AX4">
        <v>0.57330000000000003</v>
      </c>
      <c r="AY4">
        <v>1475.744625</v>
      </c>
      <c r="AZ4">
        <v>236.955375</v>
      </c>
    </row>
    <row r="5" spans="1:52" x14ac:dyDescent="0.35">
      <c r="A5" t="s">
        <v>56</v>
      </c>
      <c r="B5" t="s">
        <v>52</v>
      </c>
      <c r="C5">
        <v>-1</v>
      </c>
      <c r="D5">
        <v>1.02639296187683E-2</v>
      </c>
      <c r="E5">
        <v>8.7829949934576899E-3</v>
      </c>
      <c r="F5">
        <v>4.4129365950471601E-3</v>
      </c>
      <c r="G5">
        <v>7.9425584217567308E-3</v>
      </c>
      <c r="H5">
        <v>8.85261547068583E-3</v>
      </c>
      <c r="I5">
        <v>5.7507902356095401E-3</v>
      </c>
      <c r="J5">
        <v>28708.2</v>
      </c>
      <c r="K5">
        <v>19443.8</v>
      </c>
      <c r="L5">
        <v>0</v>
      </c>
      <c r="M5">
        <v>1834.3</v>
      </c>
      <c r="N5">
        <v>437.85294399999998</v>
      </c>
      <c r="O5">
        <v>77.674142857142897</v>
      </c>
      <c r="P5">
        <v>3097.5</v>
      </c>
      <c r="Q5">
        <v>4390.8999999999996</v>
      </c>
      <c r="R5">
        <v>2325.5</v>
      </c>
      <c r="S5">
        <v>472.3</v>
      </c>
      <c r="T5">
        <v>78.014538004655293</v>
      </c>
      <c r="U5">
        <v>173.2</v>
      </c>
      <c r="V5">
        <v>2131.8989999999999</v>
      </c>
      <c r="W5">
        <v>194.8</v>
      </c>
      <c r="X5">
        <v>0</v>
      </c>
      <c r="Y5">
        <v>0</v>
      </c>
      <c r="Z5">
        <v>0</v>
      </c>
      <c r="AA5">
        <v>35.5</v>
      </c>
      <c r="AB5">
        <v>95</v>
      </c>
      <c r="AC5">
        <v>1.365</v>
      </c>
      <c r="AD5">
        <v>1.4790000000000001</v>
      </c>
      <c r="AE5">
        <v>4.2220000000000004</v>
      </c>
      <c r="AF5">
        <v>2.5815299999999999</v>
      </c>
      <c r="AG5">
        <v>0.7</v>
      </c>
      <c r="AH5">
        <v>1680.3810000000001</v>
      </c>
      <c r="AI5">
        <v>298.11900000000003</v>
      </c>
      <c r="AJ5">
        <v>-2614.5120000000002</v>
      </c>
      <c r="AK5">
        <v>-1373.712</v>
      </c>
      <c r="AL5">
        <v>-162.89666666666599</v>
      </c>
      <c r="AM5">
        <v>-65.089999999999904</v>
      </c>
      <c r="AN5">
        <v>1840.44413571429</v>
      </c>
      <c r="AO5">
        <v>169.65</v>
      </c>
      <c r="AP5">
        <v>0</v>
      </c>
      <c r="AQ5">
        <v>34.128500000000003</v>
      </c>
      <c r="AR5">
        <v>0.08</v>
      </c>
      <c r="AS5">
        <v>29.581</v>
      </c>
      <c r="AT5">
        <v>118.68525</v>
      </c>
      <c r="AU5">
        <v>14.023156</v>
      </c>
      <c r="AV5">
        <v>12.61027</v>
      </c>
      <c r="AW5">
        <v>18.30645234</v>
      </c>
      <c r="AX5">
        <v>0.54179999999999995</v>
      </c>
      <c r="AY5">
        <v>1487.793375</v>
      </c>
      <c r="AZ5">
        <v>249.34162499999999</v>
      </c>
    </row>
    <row r="6" spans="1:52" x14ac:dyDescent="0.35">
      <c r="A6" t="s">
        <v>57</v>
      </c>
      <c r="B6" t="s">
        <v>52</v>
      </c>
      <c r="C6">
        <v>-1</v>
      </c>
      <c r="D6">
        <v>7.5830465908905999E-3</v>
      </c>
      <c r="E6">
        <v>2.81932988489686E-3</v>
      </c>
      <c r="F6">
        <v>2.4774521911605802E-3</v>
      </c>
      <c r="G6">
        <v>2.7475707923965099E-3</v>
      </c>
      <c r="H6">
        <v>6.418097894342E-3</v>
      </c>
      <c r="I6">
        <v>5.8015415021503997E-3</v>
      </c>
      <c r="J6">
        <v>29147</v>
      </c>
      <c r="K6">
        <v>19756.099999999999</v>
      </c>
      <c r="L6">
        <v>0</v>
      </c>
      <c r="M6">
        <v>1867.5</v>
      </c>
      <c r="N6">
        <v>447.07610899999997</v>
      </c>
      <c r="O6">
        <v>77.674142857142897</v>
      </c>
      <c r="P6">
        <v>3127.6</v>
      </c>
      <c r="Q6">
        <v>4456.6000000000004</v>
      </c>
      <c r="R6">
        <v>2363.6</v>
      </c>
      <c r="S6">
        <v>495.3</v>
      </c>
      <c r="T6">
        <v>85.438721583871398</v>
      </c>
      <c r="U6">
        <v>170.6</v>
      </c>
      <c r="V6">
        <v>2160.9989999999998</v>
      </c>
      <c r="W6">
        <v>199.2</v>
      </c>
      <c r="X6">
        <v>0</v>
      </c>
      <c r="Y6">
        <v>0</v>
      </c>
      <c r="Z6">
        <v>0</v>
      </c>
      <c r="AA6">
        <v>36.1</v>
      </c>
      <c r="AB6">
        <v>93</v>
      </c>
      <c r="AC6">
        <v>1.365</v>
      </c>
      <c r="AD6">
        <v>1.4790000000000001</v>
      </c>
      <c r="AE6">
        <v>4.2220000000000004</v>
      </c>
      <c r="AF6">
        <v>2.6040450000000002</v>
      </c>
      <c r="AG6">
        <v>0.7</v>
      </c>
      <c r="AH6">
        <v>1707.9780000000001</v>
      </c>
      <c r="AI6">
        <v>314.92200000000003</v>
      </c>
      <c r="AJ6">
        <v>-2622.4259999999999</v>
      </c>
      <c r="AK6">
        <v>-1378.08</v>
      </c>
      <c r="AL6">
        <v>-168.09666666666601</v>
      </c>
      <c r="AM6">
        <v>-67.456666666666607</v>
      </c>
      <c r="AN6">
        <v>1875.22286785714</v>
      </c>
      <c r="AO6">
        <v>173.11500000000001</v>
      </c>
      <c r="AP6">
        <v>0</v>
      </c>
      <c r="AQ6">
        <v>27.388000000000002</v>
      </c>
      <c r="AR6">
        <v>3.5000000000000003E-2</v>
      </c>
      <c r="AS6">
        <v>30.805</v>
      </c>
      <c r="AT6">
        <v>96.491024999999993</v>
      </c>
      <c r="AU6">
        <v>13.04705068</v>
      </c>
      <c r="AV6">
        <v>9.3279399999999999</v>
      </c>
      <c r="AW6">
        <v>11.95799418</v>
      </c>
      <c r="AX6">
        <v>0.40050000000000002</v>
      </c>
      <c r="AY6">
        <v>1498.5893249999999</v>
      </c>
      <c r="AZ6">
        <v>260.10067500000002</v>
      </c>
    </row>
    <row r="7" spans="1:52" x14ac:dyDescent="0.35">
      <c r="A7" t="s">
        <v>58</v>
      </c>
      <c r="B7" t="s">
        <v>52</v>
      </c>
      <c r="C7">
        <v>-1</v>
      </c>
      <c r="D7">
        <v>5.9965040624090403E-3</v>
      </c>
      <c r="E7">
        <v>3.9266711587164797E-3</v>
      </c>
      <c r="F7">
        <v>6.5105722135945197E-3</v>
      </c>
      <c r="G7">
        <v>4.4025399268810004E-3</v>
      </c>
      <c r="H7">
        <v>4.2217342333217304E-3</v>
      </c>
      <c r="I7">
        <v>5.75057221256969E-3</v>
      </c>
      <c r="J7">
        <v>29511.7</v>
      </c>
      <c r="K7">
        <v>20032.8</v>
      </c>
      <c r="L7">
        <v>0</v>
      </c>
      <c r="M7">
        <v>1917.9</v>
      </c>
      <c r="N7">
        <v>468.80533000000003</v>
      </c>
      <c r="O7">
        <v>77.674142857142897</v>
      </c>
      <c r="P7">
        <v>3169.1</v>
      </c>
      <c r="Q7">
        <v>4526.7</v>
      </c>
      <c r="R7">
        <v>2400.1</v>
      </c>
      <c r="S7">
        <v>490.6</v>
      </c>
      <c r="T7">
        <v>79.629002831748707</v>
      </c>
      <c r="U7">
        <v>170.1</v>
      </c>
      <c r="V7">
        <v>2181.299</v>
      </c>
      <c r="W7">
        <v>209</v>
      </c>
      <c r="X7">
        <v>0</v>
      </c>
      <c r="Y7">
        <v>0</v>
      </c>
      <c r="Z7">
        <v>0</v>
      </c>
      <c r="AA7">
        <v>37</v>
      </c>
      <c r="AB7">
        <v>92.1</v>
      </c>
      <c r="AC7">
        <v>1.365</v>
      </c>
      <c r="AD7">
        <v>1.4790000000000001</v>
      </c>
      <c r="AE7">
        <v>4.2220000000000004</v>
      </c>
      <c r="AF7">
        <v>2.626465</v>
      </c>
      <c r="AG7">
        <v>0.7</v>
      </c>
      <c r="AH7">
        <v>1744.3589999999999</v>
      </c>
      <c r="AI7">
        <v>315.44099999999997</v>
      </c>
      <c r="AJ7">
        <v>-2629.8420000000001</v>
      </c>
      <c r="AK7">
        <v>-1390.32</v>
      </c>
      <c r="AL7">
        <v>-172.826666666666</v>
      </c>
      <c r="AM7">
        <v>-69.003333333333202</v>
      </c>
      <c r="AN7">
        <v>1912.3190999999999</v>
      </c>
      <c r="AO7">
        <v>178.3125</v>
      </c>
      <c r="AP7">
        <v>0</v>
      </c>
      <c r="AQ7">
        <v>20.647500000000001</v>
      </c>
      <c r="AR7">
        <v>1.2E-2</v>
      </c>
      <c r="AS7">
        <v>31.843</v>
      </c>
      <c r="AT7">
        <v>75.838724999999997</v>
      </c>
      <c r="AU7">
        <v>8.5178419999999999</v>
      </c>
      <c r="AV7">
        <v>6.3509599999999997</v>
      </c>
      <c r="AW7">
        <v>8.1834538699999992</v>
      </c>
      <c r="AX7">
        <v>0.40139999999999998</v>
      </c>
      <c r="AY7">
        <v>1527.9988499999999</v>
      </c>
      <c r="AZ7">
        <v>265.81365</v>
      </c>
    </row>
    <row r="8" spans="1:52" x14ac:dyDescent="0.35">
      <c r="A8" t="s">
        <v>59</v>
      </c>
      <c r="B8" t="s">
        <v>52</v>
      </c>
      <c r="C8">
        <v>-1</v>
      </c>
      <c r="D8">
        <v>5.96880454980586E-3</v>
      </c>
      <c r="E8">
        <v>3.2787138184287002E-3</v>
      </c>
      <c r="F8">
        <v>3.5235297608449101E-3</v>
      </c>
      <c r="G8">
        <v>3.3257469520371302E-3</v>
      </c>
      <c r="H8">
        <v>6.2373920761720197E-3</v>
      </c>
      <c r="I8">
        <v>5.7438003942336096E-3</v>
      </c>
      <c r="J8">
        <v>29825.200000000001</v>
      </c>
      <c r="K8">
        <v>20351.3</v>
      </c>
      <c r="L8">
        <v>0</v>
      </c>
      <c r="M8">
        <v>1950</v>
      </c>
      <c r="N8">
        <v>473.51932570000002</v>
      </c>
      <c r="O8">
        <v>79.268142857142905</v>
      </c>
      <c r="P8">
        <v>3200.8</v>
      </c>
      <c r="Q8">
        <v>4590.3</v>
      </c>
      <c r="R8">
        <v>2436.6</v>
      </c>
      <c r="S8">
        <v>508.6</v>
      </c>
      <c r="T8">
        <v>71.179167218325304</v>
      </c>
      <c r="U8">
        <v>174.2</v>
      </c>
      <c r="V8">
        <v>2212.098</v>
      </c>
      <c r="W8">
        <v>204.3</v>
      </c>
      <c r="X8">
        <v>0</v>
      </c>
      <c r="Y8">
        <v>0</v>
      </c>
      <c r="Z8">
        <v>0</v>
      </c>
      <c r="AA8">
        <v>37.299999999999997</v>
      </c>
      <c r="AB8">
        <v>94</v>
      </c>
      <c r="AC8">
        <v>-0.90100000000000002</v>
      </c>
      <c r="AD8">
        <v>1.63</v>
      </c>
      <c r="AE8">
        <v>2.3719999999999999</v>
      </c>
      <c r="AF8">
        <v>2.6498349999999999</v>
      </c>
      <c r="AG8">
        <v>0.7</v>
      </c>
      <c r="AH8">
        <v>1786.6969999999999</v>
      </c>
      <c r="AI8">
        <v>314.303</v>
      </c>
      <c r="AJ8">
        <v>-2642.6219999999998</v>
      </c>
      <c r="AK8">
        <v>-1404.93</v>
      </c>
      <c r="AL8">
        <v>-177.31333333333299</v>
      </c>
      <c r="AM8">
        <v>-69.029999999999902</v>
      </c>
      <c r="AN8">
        <v>1954.416375</v>
      </c>
      <c r="AO8">
        <v>181.64250000000001</v>
      </c>
      <c r="AP8">
        <v>0</v>
      </c>
      <c r="AQ8">
        <v>13.836</v>
      </c>
      <c r="AR8">
        <v>0</v>
      </c>
      <c r="AS8">
        <v>32.631</v>
      </c>
      <c r="AT8">
        <v>65.877975000000006</v>
      </c>
      <c r="AU8">
        <v>6.5761909999999997</v>
      </c>
      <c r="AV8">
        <v>4.5609400000000004</v>
      </c>
      <c r="AW8">
        <v>6.1234737700000004</v>
      </c>
      <c r="AX8">
        <v>0.40229999999999999</v>
      </c>
      <c r="AY8">
        <v>1556.868375</v>
      </c>
      <c r="AZ8">
        <v>279.62662499999999</v>
      </c>
    </row>
    <row r="9" spans="1:52" x14ac:dyDescent="0.35">
      <c r="A9" t="s">
        <v>60</v>
      </c>
      <c r="B9" t="s">
        <v>52</v>
      </c>
      <c r="C9">
        <v>-1</v>
      </c>
      <c r="D9">
        <v>1.43536843788732E-2</v>
      </c>
      <c r="E9">
        <v>9.9039592768877006E-3</v>
      </c>
      <c r="F9">
        <v>6.6231529460465399E-3</v>
      </c>
      <c r="G9">
        <v>9.2720593289594699E-3</v>
      </c>
      <c r="H9">
        <v>8.4681202537228994E-3</v>
      </c>
      <c r="I9">
        <v>5.6201407847431602E-3</v>
      </c>
      <c r="J9">
        <v>30042.1</v>
      </c>
      <c r="K9">
        <v>20555</v>
      </c>
      <c r="L9">
        <v>0</v>
      </c>
      <c r="M9">
        <v>1949.7</v>
      </c>
      <c r="N9">
        <v>435.15299700000003</v>
      </c>
      <c r="O9">
        <v>79.268142857142905</v>
      </c>
      <c r="P9">
        <v>3245.8</v>
      </c>
      <c r="Q9">
        <v>4710.8999999999996</v>
      </c>
      <c r="R9">
        <v>2460.1</v>
      </c>
      <c r="S9">
        <v>469.2</v>
      </c>
      <c r="T9">
        <v>63.720260154684503</v>
      </c>
      <c r="U9">
        <v>184.4</v>
      </c>
      <c r="V9">
        <v>2312.7979999999998</v>
      </c>
      <c r="W9">
        <v>203.3</v>
      </c>
      <c r="X9">
        <v>0</v>
      </c>
      <c r="Y9">
        <v>0</v>
      </c>
      <c r="Z9">
        <v>0</v>
      </c>
      <c r="AA9">
        <v>37.1</v>
      </c>
      <c r="AB9">
        <v>107</v>
      </c>
      <c r="AC9">
        <v>-0.90100000000000002</v>
      </c>
      <c r="AD9">
        <v>1.63</v>
      </c>
      <c r="AE9">
        <v>2.3719999999999999</v>
      </c>
      <c r="AF9">
        <v>2.6454420000000001</v>
      </c>
      <c r="AG9">
        <v>0.7</v>
      </c>
      <c r="AH9">
        <v>1811.3320000000001</v>
      </c>
      <c r="AI9">
        <v>316.46800000000002</v>
      </c>
      <c r="AJ9">
        <v>-2684.8380000000002</v>
      </c>
      <c r="AK9">
        <v>-1421.4059999999999</v>
      </c>
      <c r="AL9">
        <v>-180.12</v>
      </c>
      <c r="AM9">
        <v>-69.019999999999897</v>
      </c>
      <c r="AN9">
        <v>1995.1186499999999</v>
      </c>
      <c r="AO9">
        <v>183.55500000000001</v>
      </c>
      <c r="AP9">
        <v>0</v>
      </c>
      <c r="AQ9">
        <v>7.0244999999999997</v>
      </c>
      <c r="AR9">
        <v>0</v>
      </c>
      <c r="AS9">
        <v>33.122999999999998</v>
      </c>
      <c r="AT9">
        <v>61.471350000000001</v>
      </c>
      <c r="AU9">
        <v>4.6345400000000003</v>
      </c>
      <c r="AV9">
        <v>3.8575400000000002</v>
      </c>
      <c r="AW9">
        <v>4.0318455000000002</v>
      </c>
      <c r="AX9">
        <v>0.3861</v>
      </c>
      <c r="AY9">
        <v>1586.3323499999999</v>
      </c>
      <c r="AZ9">
        <v>283.75515000000001</v>
      </c>
    </row>
    <row r="10" spans="1:52" x14ac:dyDescent="0.35">
      <c r="A10" t="s">
        <v>61</v>
      </c>
      <c r="B10" t="s">
        <v>52</v>
      </c>
      <c r="C10">
        <v>-1</v>
      </c>
      <c r="D10">
        <v>1.7075285770595101E-2</v>
      </c>
      <c r="E10">
        <v>2.3603401935479201E-3</v>
      </c>
      <c r="F10">
        <v>5.4340243356172397E-3</v>
      </c>
      <c r="G10">
        <v>2.9513034923756001E-3</v>
      </c>
      <c r="H10">
        <v>5.2878919202601297E-3</v>
      </c>
      <c r="I10">
        <v>5.7178013354441896E-3</v>
      </c>
      <c r="J10">
        <v>30485.7</v>
      </c>
      <c r="K10">
        <v>20789.900000000001</v>
      </c>
      <c r="L10">
        <v>-0.2</v>
      </c>
      <c r="M10">
        <v>1956.4</v>
      </c>
      <c r="N10">
        <v>411.32561950000002</v>
      </c>
      <c r="O10">
        <v>75.196142857142902</v>
      </c>
      <c r="P10">
        <v>3280.6</v>
      </c>
      <c r="Q10">
        <v>4925.3999999999996</v>
      </c>
      <c r="R10">
        <v>2490.5</v>
      </c>
      <c r="S10">
        <v>469.7</v>
      </c>
      <c r="T10">
        <v>80.1186157655019</v>
      </c>
      <c r="U10">
        <v>183</v>
      </c>
      <c r="V10">
        <v>2409.6979999999999</v>
      </c>
      <c r="W10">
        <v>203.5</v>
      </c>
      <c r="X10">
        <v>0</v>
      </c>
      <c r="Y10">
        <v>0</v>
      </c>
      <c r="Z10">
        <v>0</v>
      </c>
      <c r="AA10">
        <v>38</v>
      </c>
      <c r="AB10">
        <v>119.2</v>
      </c>
      <c r="AC10">
        <v>-0.90100000000000002</v>
      </c>
      <c r="AD10">
        <v>1.63</v>
      </c>
      <c r="AE10">
        <v>2.3719999999999999</v>
      </c>
      <c r="AF10">
        <v>2.6696</v>
      </c>
      <c r="AG10">
        <v>0.7</v>
      </c>
      <c r="AH10">
        <v>1877.66</v>
      </c>
      <c r="AI10">
        <v>319.14</v>
      </c>
      <c r="AJ10">
        <v>-2747.8319999999999</v>
      </c>
      <c r="AK10">
        <v>-1439.904</v>
      </c>
      <c r="AL10">
        <v>-181.59</v>
      </c>
      <c r="AM10">
        <v>-69.639999999999901</v>
      </c>
      <c r="AN10">
        <v>2051.0759250000001</v>
      </c>
      <c r="AO10">
        <v>184.52250000000001</v>
      </c>
      <c r="AP10">
        <v>0</v>
      </c>
      <c r="AQ10">
        <v>0.21299999999999999</v>
      </c>
      <c r="AR10">
        <v>0</v>
      </c>
      <c r="AS10">
        <v>33.619999999999997</v>
      </c>
      <c r="AT10">
        <v>55.255499999999998</v>
      </c>
      <c r="AU10">
        <v>2.7450070000000002</v>
      </c>
      <c r="AV10">
        <v>3.1726399999999999</v>
      </c>
      <c r="AW10">
        <v>2.3533202599999998</v>
      </c>
      <c r="AX10">
        <v>0.315</v>
      </c>
      <c r="AY10">
        <v>1624.5108</v>
      </c>
      <c r="AZ10">
        <v>284.70420000000001</v>
      </c>
    </row>
    <row r="11" spans="1:52" x14ac:dyDescent="0.35">
      <c r="A11" t="s">
        <v>62</v>
      </c>
      <c r="B11" t="s">
        <v>52</v>
      </c>
      <c r="C11">
        <v>-1</v>
      </c>
      <c r="D11">
        <v>9.2779190177962895E-3</v>
      </c>
      <c r="E11">
        <v>1.2563901949911501E-2</v>
      </c>
      <c r="F11">
        <v>8.5086803146385802E-3</v>
      </c>
      <c r="G11">
        <v>1.17855660768855E-2</v>
      </c>
      <c r="H11">
        <v>6.8499651964817297E-3</v>
      </c>
      <c r="I11">
        <v>5.7366284367368304E-3</v>
      </c>
      <c r="J11">
        <v>31095.1</v>
      </c>
      <c r="K11">
        <v>21114.9</v>
      </c>
      <c r="L11">
        <v>0</v>
      </c>
      <c r="M11">
        <v>1988.7</v>
      </c>
      <c r="N11">
        <v>437.30692800000003</v>
      </c>
      <c r="O11">
        <v>75.196142857142902</v>
      </c>
      <c r="P11">
        <v>3334.4</v>
      </c>
      <c r="Q11">
        <v>5048</v>
      </c>
      <c r="R11">
        <v>2523.6</v>
      </c>
      <c r="S11">
        <v>79</v>
      </c>
      <c r="T11">
        <v>97.957811266570204</v>
      </c>
      <c r="U11">
        <v>166.7</v>
      </c>
      <c r="V11">
        <v>2372.3980000000001</v>
      </c>
      <c r="W11">
        <v>204</v>
      </c>
      <c r="X11">
        <v>0</v>
      </c>
      <c r="Y11">
        <v>0</v>
      </c>
      <c r="Z11">
        <v>0</v>
      </c>
      <c r="AA11">
        <v>38.5</v>
      </c>
      <c r="AB11">
        <v>123.4</v>
      </c>
      <c r="AC11">
        <v>-0.90100000000000002</v>
      </c>
      <c r="AD11">
        <v>1.63</v>
      </c>
      <c r="AE11">
        <v>2.3719999999999999</v>
      </c>
      <c r="AF11">
        <v>-8.3069939999999995</v>
      </c>
      <c r="AG11">
        <v>0.7</v>
      </c>
      <c r="AH11">
        <v>1936.933</v>
      </c>
      <c r="AI11">
        <v>345.46699999999998</v>
      </c>
      <c r="AJ11">
        <v>-2815.4639999999999</v>
      </c>
      <c r="AK11">
        <v>-1458.912</v>
      </c>
      <c r="AL11">
        <v>-170.326666666666</v>
      </c>
      <c r="AM11">
        <v>-69.543333333333294</v>
      </c>
      <c r="AN11">
        <v>2094.0731999999998</v>
      </c>
      <c r="AO11">
        <v>183.39750000000001</v>
      </c>
      <c r="AP11">
        <v>0</v>
      </c>
      <c r="AQ11">
        <v>0.14199999999999999</v>
      </c>
      <c r="AR11">
        <v>0</v>
      </c>
      <c r="AS11">
        <v>34.021000000000001</v>
      </c>
      <c r="AT11">
        <v>50.655374999999999</v>
      </c>
      <c r="AU11">
        <v>0.85547399999999996</v>
      </c>
      <c r="AV11">
        <v>2.5840200000000002</v>
      </c>
      <c r="AW11">
        <v>0.19286449</v>
      </c>
      <c r="AX11">
        <v>0.315</v>
      </c>
      <c r="AY11">
        <v>1667.83995</v>
      </c>
      <c r="AZ11">
        <v>291.46005000000002</v>
      </c>
    </row>
    <row r="12" spans="1:52" x14ac:dyDescent="0.35">
      <c r="A12" t="s">
        <v>63</v>
      </c>
      <c r="B12" t="s">
        <v>64</v>
      </c>
      <c r="C12">
        <v>0</v>
      </c>
      <c r="D12">
        <v>2.4606677333662001E-2</v>
      </c>
      <c r="E12">
        <v>1.0918464235138099E-2</v>
      </c>
      <c r="F12">
        <v>1.0918464235138099E-2</v>
      </c>
      <c r="G12">
        <v>1.0918464235138099E-2</v>
      </c>
      <c r="H12">
        <v>6.9304677040791197E-3</v>
      </c>
      <c r="I12">
        <v>5.7166676591435799E-3</v>
      </c>
      <c r="J12">
        <v>31393.081877428802</v>
      </c>
      <c r="K12">
        <v>21314.939946178802</v>
      </c>
      <c r="L12">
        <v>-0.9</v>
      </c>
      <c r="M12">
        <v>2015.86486836728</v>
      </c>
      <c r="N12">
        <v>436.28059048126698</v>
      </c>
      <c r="O12">
        <v>75.196142857142902</v>
      </c>
      <c r="P12">
        <v>3365.7243204289598</v>
      </c>
      <c r="Q12">
        <v>5133.5913343842703</v>
      </c>
      <c r="R12">
        <v>2538.4998538639702</v>
      </c>
      <c r="S12">
        <v>333.33760146829002</v>
      </c>
      <c r="T12">
        <v>109.65876198766399</v>
      </c>
      <c r="U12">
        <v>160.93350549956699</v>
      </c>
      <c r="V12">
        <v>2392.65942</v>
      </c>
      <c r="W12">
        <v>223.32467758610201</v>
      </c>
      <c r="X12">
        <v>0</v>
      </c>
      <c r="Y12">
        <v>0</v>
      </c>
      <c r="Z12">
        <v>0</v>
      </c>
      <c r="AA12">
        <v>35.700000000000003</v>
      </c>
      <c r="AB12">
        <v>128.63999999999999</v>
      </c>
      <c r="AC12">
        <v>-2.15</v>
      </c>
      <c r="AD12">
        <v>1.671</v>
      </c>
      <c r="AE12">
        <v>0.49</v>
      </c>
      <c r="AF12">
        <v>-8.2824600000000004</v>
      </c>
      <c r="AG12">
        <v>0</v>
      </c>
      <c r="AH12">
        <v>1975.1550131173501</v>
      </c>
      <c r="AI12">
        <v>346.984285545842</v>
      </c>
      <c r="AJ12">
        <v>-2877.8389601261101</v>
      </c>
      <c r="AK12">
        <v>-1476.0359824636801</v>
      </c>
      <c r="AL12">
        <v>-167.461253382276</v>
      </c>
      <c r="AM12">
        <v>-68.947783516652194</v>
      </c>
      <c r="AN12">
        <v>2134.6995195</v>
      </c>
      <c r="AO12">
        <v>187.67805245687299</v>
      </c>
      <c r="AP12">
        <v>0</v>
      </c>
      <c r="AQ12">
        <v>7.0999999999999994E-2</v>
      </c>
      <c r="AR12">
        <v>0</v>
      </c>
      <c r="AS12">
        <v>33.762</v>
      </c>
      <c r="AT12">
        <v>48.740355000000001</v>
      </c>
      <c r="AU12">
        <v>0.573855</v>
      </c>
      <c r="AV12">
        <v>2.0411199999999998</v>
      </c>
      <c r="AW12">
        <v>-1.6414568300000001</v>
      </c>
      <c r="AX12">
        <v>0.28034999999999999</v>
      </c>
      <c r="AY12">
        <v>1710.2430029514001</v>
      </c>
      <c r="AZ12">
        <v>298.81333924781399</v>
      </c>
    </row>
    <row r="13" spans="1:52" x14ac:dyDescent="0.35">
      <c r="A13" t="s">
        <v>65</v>
      </c>
      <c r="B13" t="s">
        <v>64</v>
      </c>
      <c r="C13">
        <v>0</v>
      </c>
      <c r="D13">
        <v>-1.44304625879386E-2</v>
      </c>
      <c r="E13">
        <v>9.65055853089547E-3</v>
      </c>
      <c r="F13">
        <v>9.65055853089547E-3</v>
      </c>
      <c r="G13">
        <v>9.65055853089547E-3</v>
      </c>
      <c r="H13">
        <v>5.81634119686347E-3</v>
      </c>
      <c r="I13">
        <v>5.6799438349561804E-3</v>
      </c>
      <c r="J13">
        <v>31700.921954758898</v>
      </c>
      <c r="K13">
        <v>21497.356119884102</v>
      </c>
      <c r="L13">
        <v>1.66</v>
      </c>
      <c r="M13">
        <v>2060.5065975160901</v>
      </c>
      <c r="N13">
        <v>439.29426740466101</v>
      </c>
      <c r="O13">
        <v>75.196142857142902</v>
      </c>
      <c r="P13">
        <v>3397.9400069163498</v>
      </c>
      <c r="Q13">
        <v>5077.3370720029397</v>
      </c>
      <c r="R13">
        <v>2562.1946746098001</v>
      </c>
      <c r="S13">
        <v>331.27795026126302</v>
      </c>
      <c r="T13">
        <v>134.709036355557</v>
      </c>
      <c r="U13">
        <v>161.12819653038599</v>
      </c>
      <c r="V13">
        <v>2464.9073084000001</v>
      </c>
      <c r="W13">
        <v>226.55247111207601</v>
      </c>
      <c r="X13">
        <v>0</v>
      </c>
      <c r="Y13">
        <v>0</v>
      </c>
      <c r="Z13">
        <v>0</v>
      </c>
      <c r="AA13">
        <v>35.700000000000003</v>
      </c>
      <c r="AB13">
        <v>126.49</v>
      </c>
      <c r="AC13">
        <v>0</v>
      </c>
      <c r="AD13">
        <v>0</v>
      </c>
      <c r="AE13">
        <v>0</v>
      </c>
      <c r="AF13">
        <v>-8.2824600000000004</v>
      </c>
      <c r="AG13">
        <v>0</v>
      </c>
      <c r="AH13">
        <v>2010.9107049071699</v>
      </c>
      <c r="AI13">
        <v>351.78372545743002</v>
      </c>
      <c r="AJ13">
        <v>-2920.78540876646</v>
      </c>
      <c r="AK13">
        <v>-1492.5533434168501</v>
      </c>
      <c r="AL13">
        <v>-164.53051839098501</v>
      </c>
      <c r="AM13">
        <v>-68.522056734331699</v>
      </c>
      <c r="AN13">
        <v>2168.9241138900002</v>
      </c>
      <c r="AO13">
        <v>192.90985845709</v>
      </c>
      <c r="AP13">
        <v>0</v>
      </c>
      <c r="AQ13">
        <v>0</v>
      </c>
      <c r="AR13">
        <v>0</v>
      </c>
      <c r="AS13">
        <v>33.567</v>
      </c>
      <c r="AT13">
        <v>49.244489999999999</v>
      </c>
      <c r="AU13">
        <v>0.37823600000000002</v>
      </c>
      <c r="AV13">
        <v>1.53068</v>
      </c>
      <c r="AW13">
        <v>-3.3871226600000002</v>
      </c>
      <c r="AX13">
        <v>0.25042500000000001</v>
      </c>
      <c r="AY13">
        <v>1755.14821155552</v>
      </c>
      <c r="AZ13">
        <v>306.75937747573602</v>
      </c>
    </row>
    <row r="14" spans="1:52" x14ac:dyDescent="0.35">
      <c r="A14" t="s">
        <v>66</v>
      </c>
      <c r="B14" t="s">
        <v>64</v>
      </c>
      <c r="C14">
        <v>0</v>
      </c>
      <c r="D14">
        <v>5.6496540320822904E-3</v>
      </c>
      <c r="E14">
        <v>7.7655046872424603E-3</v>
      </c>
      <c r="F14">
        <v>7.7655046872424603E-3</v>
      </c>
      <c r="G14">
        <v>7.7655046872424603E-3</v>
      </c>
      <c r="H14">
        <v>5.3021706673404001E-3</v>
      </c>
      <c r="I14">
        <v>5.6310426470525003E-3</v>
      </c>
      <c r="J14">
        <v>32007.8473537477</v>
      </c>
      <c r="K14">
        <v>21694.458770650701</v>
      </c>
      <c r="L14">
        <v>-0.44</v>
      </c>
      <c r="M14">
        <v>2085.70845381958</v>
      </c>
      <c r="N14">
        <v>439.534639311989</v>
      </c>
      <c r="O14">
        <v>75.196142857142902</v>
      </c>
      <c r="P14">
        <v>3427.9764372956502</v>
      </c>
      <c r="Q14">
        <v>5118.7186153153798</v>
      </c>
      <c r="R14">
        <v>2586.87180652393</v>
      </c>
      <c r="S14">
        <v>329.231025380566</v>
      </c>
      <c r="T14">
        <v>155.20684462483899</v>
      </c>
      <c r="U14">
        <v>161.446350166114</v>
      </c>
      <c r="V14">
        <v>2492.2593029680002</v>
      </c>
      <c r="W14">
        <v>229.82691712249201</v>
      </c>
      <c r="X14">
        <v>0</v>
      </c>
      <c r="Y14">
        <v>0</v>
      </c>
      <c r="Z14">
        <v>0</v>
      </c>
      <c r="AA14">
        <v>35.700000000000003</v>
      </c>
      <c r="AB14">
        <v>126.49</v>
      </c>
      <c r="AC14">
        <v>0</v>
      </c>
      <c r="AD14">
        <v>0</v>
      </c>
      <c r="AE14">
        <v>0</v>
      </c>
      <c r="AF14">
        <v>-8.2824600000000004</v>
      </c>
      <c r="AG14">
        <v>0</v>
      </c>
      <c r="AH14">
        <v>2048.42886397952</v>
      </c>
      <c r="AI14">
        <v>355.561502318583</v>
      </c>
      <c r="AJ14">
        <v>-2959.62016254125</v>
      </c>
      <c r="AK14">
        <v>-1508.8519689678899</v>
      </c>
      <c r="AL14">
        <v>-161.65488590367099</v>
      </c>
      <c r="AM14">
        <v>-68.230268406535501</v>
      </c>
      <c r="AN14">
        <v>2187.5004070578002</v>
      </c>
      <c r="AO14">
        <v>198.833414809651</v>
      </c>
      <c r="AP14">
        <v>0</v>
      </c>
      <c r="AQ14">
        <v>0</v>
      </c>
      <c r="AR14">
        <v>0</v>
      </c>
      <c r="AS14">
        <v>33.316000000000003</v>
      </c>
      <c r="AT14">
        <v>49.932697500000003</v>
      </c>
      <c r="AU14">
        <v>0.211344</v>
      </c>
      <c r="AV14">
        <v>1.05376</v>
      </c>
      <c r="AW14">
        <v>-5.0256664500000001</v>
      </c>
      <c r="AX14">
        <v>0.22207499999999999</v>
      </c>
      <c r="AY14">
        <v>1793.5712059509101</v>
      </c>
      <c r="AZ14">
        <v>314.95421549741701</v>
      </c>
    </row>
    <row r="15" spans="1:52" x14ac:dyDescent="0.35">
      <c r="A15" t="s">
        <v>67</v>
      </c>
      <c r="B15" t="s">
        <v>64</v>
      </c>
      <c r="C15">
        <v>0</v>
      </c>
      <c r="D15">
        <v>5.7657657657657103E-3</v>
      </c>
      <c r="E15">
        <v>7.6646909789202002E-3</v>
      </c>
      <c r="F15">
        <v>7.6646909789202002E-3</v>
      </c>
      <c r="G15">
        <v>7.6646909789202002E-3</v>
      </c>
      <c r="H15">
        <v>5.2862345924600297E-3</v>
      </c>
      <c r="I15">
        <v>5.5869659763809797E-3</v>
      </c>
      <c r="J15">
        <v>32308.065111566499</v>
      </c>
      <c r="K15">
        <v>21866.746339486199</v>
      </c>
      <c r="L15">
        <v>-0.04</v>
      </c>
      <c r="M15">
        <v>2106.3063360961301</v>
      </c>
      <c r="N15">
        <v>443.60799880000002</v>
      </c>
      <c r="O15">
        <v>75.196142857142902</v>
      </c>
      <c r="P15">
        <v>3458.5788174456202</v>
      </c>
      <c r="Q15">
        <v>5160.4951198890603</v>
      </c>
      <c r="R15">
        <v>2609.3708010175401</v>
      </c>
      <c r="S15">
        <v>327.196748191827</v>
      </c>
      <c r="T15">
        <v>162.82034425593901</v>
      </c>
      <c r="U15">
        <v>161.28489906738599</v>
      </c>
      <c r="V15">
        <v>2521.64089742736</v>
      </c>
      <c r="W15">
        <v>233.14868990282699</v>
      </c>
      <c r="X15">
        <v>0</v>
      </c>
      <c r="Y15">
        <v>0</v>
      </c>
      <c r="Z15">
        <v>0</v>
      </c>
      <c r="AA15">
        <v>35.700000000000003</v>
      </c>
      <c r="AB15">
        <v>126.49</v>
      </c>
      <c r="AC15">
        <v>0</v>
      </c>
      <c r="AD15">
        <v>0</v>
      </c>
      <c r="AE15">
        <v>0</v>
      </c>
      <c r="AF15">
        <v>-11</v>
      </c>
      <c r="AG15">
        <v>0</v>
      </c>
      <c r="AH15">
        <v>2084.3001123006802</v>
      </c>
      <c r="AI15">
        <v>361.74104656087502</v>
      </c>
      <c r="AJ15">
        <v>-3002.63735260776</v>
      </c>
      <c r="AK15">
        <v>-1524.2387846134</v>
      </c>
      <c r="AL15">
        <v>-158.28144417673099</v>
      </c>
      <c r="AM15">
        <v>-67.989765042114996</v>
      </c>
      <c r="AN15">
        <v>2221.0800589789601</v>
      </c>
      <c r="AO15">
        <v>205.39187003778699</v>
      </c>
      <c r="AP15">
        <v>0</v>
      </c>
      <c r="AQ15">
        <v>0</v>
      </c>
      <c r="AR15">
        <v>0</v>
      </c>
      <c r="AS15">
        <v>32.988</v>
      </c>
      <c r="AT15">
        <v>50.660527500000001</v>
      </c>
      <c r="AU15">
        <v>-4.9980000000000302E-3</v>
      </c>
      <c r="AV15">
        <v>0.61906000000000005</v>
      </c>
      <c r="AW15">
        <v>-6.55146476</v>
      </c>
      <c r="AX15">
        <v>0.1953</v>
      </c>
      <c r="AY15">
        <v>1826.7288062185601</v>
      </c>
      <c r="AZ15">
        <v>318.61587597361398</v>
      </c>
    </row>
    <row r="16" spans="1:52" x14ac:dyDescent="0.35">
      <c r="A16" t="s">
        <v>68</v>
      </c>
      <c r="B16" t="s">
        <v>64</v>
      </c>
      <c r="C16">
        <v>0</v>
      </c>
      <c r="D16">
        <v>5.91965033365316E-3</v>
      </c>
      <c r="E16">
        <v>7.66526403461443E-3</v>
      </c>
      <c r="F16">
        <v>7.66526403461443E-3</v>
      </c>
      <c r="G16">
        <v>7.66526403461443E-3</v>
      </c>
      <c r="H16">
        <v>5.3103439607804503E-3</v>
      </c>
      <c r="I16">
        <v>5.5476079579479497E-3</v>
      </c>
      <c r="J16">
        <v>32609.807333287601</v>
      </c>
      <c r="K16">
        <v>22061.924555327401</v>
      </c>
      <c r="L16">
        <v>-0.04</v>
      </c>
      <c r="M16">
        <v>2119.7425224868798</v>
      </c>
      <c r="N16">
        <v>445.71164134851699</v>
      </c>
      <c r="O16">
        <v>75.196142857142902</v>
      </c>
      <c r="P16">
        <v>3488.4436789667898</v>
      </c>
      <c r="Q16">
        <v>5202.6708274890098</v>
      </c>
      <c r="R16">
        <v>2633.7705478483499</v>
      </c>
      <c r="S16">
        <v>325.17504054654398</v>
      </c>
      <c r="T16">
        <v>160.44502735686899</v>
      </c>
      <c r="U16">
        <v>161.47959009820499</v>
      </c>
      <c r="V16">
        <v>2543.1751237759099</v>
      </c>
      <c r="W16">
        <v>236.51847348425699</v>
      </c>
      <c r="X16">
        <v>0</v>
      </c>
      <c r="Y16">
        <v>0</v>
      </c>
      <c r="Z16">
        <v>0</v>
      </c>
      <c r="AA16">
        <v>35.700000000000003</v>
      </c>
      <c r="AB16">
        <v>126.49</v>
      </c>
      <c r="AC16">
        <v>0</v>
      </c>
      <c r="AD16">
        <v>0</v>
      </c>
      <c r="AE16">
        <v>0</v>
      </c>
      <c r="AF16">
        <v>-11</v>
      </c>
      <c r="AG16">
        <v>0</v>
      </c>
      <c r="AH16">
        <v>2104.0296150450599</v>
      </c>
      <c r="AI16">
        <v>360.51784949166898</v>
      </c>
      <c r="AJ16">
        <v>-3044.4167349875202</v>
      </c>
      <c r="AK16">
        <v>-1538.88294196377</v>
      </c>
      <c r="AL16">
        <v>-154.36394552828301</v>
      </c>
      <c r="AM16">
        <v>-67.615751378721797</v>
      </c>
      <c r="AN16">
        <v>2254.9460923285401</v>
      </c>
      <c r="AO16">
        <v>208.36047411487201</v>
      </c>
      <c r="AP16">
        <v>0</v>
      </c>
      <c r="AQ16">
        <v>0</v>
      </c>
      <c r="AR16">
        <v>0</v>
      </c>
      <c r="AS16">
        <v>32.798000000000002</v>
      </c>
      <c r="AT16">
        <v>51.526890000000002</v>
      </c>
      <c r="AU16">
        <v>-2.8202999999999999E-2</v>
      </c>
      <c r="AV16">
        <v>0.37618000000000001</v>
      </c>
      <c r="AW16">
        <v>-7.5590360199999997</v>
      </c>
      <c r="AX16">
        <v>0.17167499999999999</v>
      </c>
      <c r="AY16">
        <v>1855.7255916523</v>
      </c>
      <c r="AZ16">
        <v>321.66092786142502</v>
      </c>
    </row>
    <row r="17" spans="1:52" x14ac:dyDescent="0.35">
      <c r="A17" t="s">
        <v>69</v>
      </c>
      <c r="B17" t="s">
        <v>64</v>
      </c>
      <c r="C17">
        <v>0</v>
      </c>
      <c r="D17">
        <v>5.55665251195214E-3</v>
      </c>
      <c r="E17">
        <v>7.5496406264195003E-3</v>
      </c>
      <c r="F17">
        <v>7.5496406264195003E-3</v>
      </c>
      <c r="G17">
        <v>7.5496406264195003E-3</v>
      </c>
      <c r="H17">
        <v>5.0315604958042198E-3</v>
      </c>
      <c r="I17">
        <v>5.5045947443734802E-3</v>
      </c>
      <c r="J17">
        <v>32919.273505446799</v>
      </c>
      <c r="K17">
        <v>22269.560955158599</v>
      </c>
      <c r="L17">
        <v>0.06</v>
      </c>
      <c r="M17">
        <v>2138.09768670731</v>
      </c>
      <c r="N17">
        <v>448.84586534884801</v>
      </c>
      <c r="O17">
        <v>75.196142857142902</v>
      </c>
      <c r="P17">
        <v>3517.6566743568401</v>
      </c>
      <c r="Q17">
        <v>5356.0165620643202</v>
      </c>
      <c r="R17">
        <v>2659.55930166812</v>
      </c>
      <c r="S17">
        <v>333.16582477908599</v>
      </c>
      <c r="T17">
        <v>141.087149371202</v>
      </c>
      <c r="U17">
        <v>161.17093358593101</v>
      </c>
      <c r="V17">
        <v>2611.9204519914301</v>
      </c>
      <c r="W17">
        <v>239.93696178451</v>
      </c>
      <c r="X17">
        <v>0</v>
      </c>
      <c r="Y17">
        <v>0</v>
      </c>
      <c r="Z17">
        <v>0</v>
      </c>
      <c r="AA17">
        <v>36.700000000000003</v>
      </c>
      <c r="AB17">
        <v>126.49</v>
      </c>
      <c r="AC17">
        <v>0</v>
      </c>
      <c r="AD17">
        <v>0</v>
      </c>
      <c r="AE17">
        <v>0</v>
      </c>
      <c r="AF17">
        <v>-11</v>
      </c>
      <c r="AG17">
        <v>0</v>
      </c>
      <c r="AH17">
        <v>2135.80993029505</v>
      </c>
      <c r="AI17">
        <v>365.97311808401003</v>
      </c>
      <c r="AJ17">
        <v>-3094.8550152419002</v>
      </c>
      <c r="AK17">
        <v>-1553.8618101028901</v>
      </c>
      <c r="AL17">
        <v>-149.726139687586</v>
      </c>
      <c r="AM17">
        <v>-67.214782498252902</v>
      </c>
      <c r="AN17">
        <v>2288.02404963661</v>
      </c>
      <c r="AO17">
        <v>211.37198451616899</v>
      </c>
      <c r="AP17">
        <v>0</v>
      </c>
      <c r="AQ17">
        <v>0</v>
      </c>
      <c r="AR17">
        <v>0</v>
      </c>
      <c r="AS17">
        <v>32.918999999999997</v>
      </c>
      <c r="AT17">
        <v>52.433077500000003</v>
      </c>
      <c r="AU17">
        <v>-5.1408000000000002E-2</v>
      </c>
      <c r="AV17">
        <v>0.23798</v>
      </c>
      <c r="AW17">
        <v>-8.5404791000000007</v>
      </c>
      <c r="AX17">
        <v>0.14804999999999999</v>
      </c>
      <c r="AY17">
        <v>1883.8279173645701</v>
      </c>
      <c r="AZ17">
        <v>324.85354120240601</v>
      </c>
    </row>
    <row r="18" spans="1:52" x14ac:dyDescent="0.35">
      <c r="A18" t="s">
        <v>70</v>
      </c>
      <c r="B18" t="s">
        <v>64</v>
      </c>
      <c r="C18">
        <v>0</v>
      </c>
      <c r="D18">
        <v>5.4914304880231404E-3</v>
      </c>
      <c r="E18">
        <v>7.4988972991580898E-3</v>
      </c>
      <c r="F18">
        <v>7.4988972991580898E-3</v>
      </c>
      <c r="G18">
        <v>7.4988972991580898E-3</v>
      </c>
      <c r="H18">
        <v>5.0077163079846904E-3</v>
      </c>
      <c r="I18">
        <v>5.45389484594594E-3</v>
      </c>
      <c r="J18">
        <v>33220.507572533803</v>
      </c>
      <c r="K18">
        <v>22454.813138227499</v>
      </c>
      <c r="L18">
        <v>0.06</v>
      </c>
      <c r="M18">
        <v>2152.5381064576</v>
      </c>
      <c r="N18">
        <v>452.01097213246902</v>
      </c>
      <c r="O18">
        <v>75.196142857142902</v>
      </c>
      <c r="P18">
        <v>3547.68024302101</v>
      </c>
      <c r="Q18">
        <v>5388.83535461875</v>
      </c>
      <c r="R18">
        <v>2683.3507337094302</v>
      </c>
      <c r="S18">
        <v>331.10723495866398</v>
      </c>
      <c r="T18">
        <v>113.587540235893</v>
      </c>
      <c r="U18">
        <v>160.57736337002001</v>
      </c>
      <c r="V18">
        <v>2642.2435230844499</v>
      </c>
      <c r="W18">
        <v>243.404858750762</v>
      </c>
      <c r="X18">
        <v>0</v>
      </c>
      <c r="Y18">
        <v>0</v>
      </c>
      <c r="Z18">
        <v>0</v>
      </c>
      <c r="AA18">
        <v>37.700000000000003</v>
      </c>
      <c r="AB18">
        <v>126.49</v>
      </c>
      <c r="AC18">
        <v>0</v>
      </c>
      <c r="AD18">
        <v>0</v>
      </c>
      <c r="AE18">
        <v>0</v>
      </c>
      <c r="AF18">
        <v>-11</v>
      </c>
      <c r="AG18">
        <v>0</v>
      </c>
      <c r="AH18">
        <v>2168.1115597974699</v>
      </c>
      <c r="AI18">
        <v>371.46964640027397</v>
      </c>
      <c r="AJ18">
        <v>-3133.8310081468098</v>
      </c>
      <c r="AK18">
        <v>-1568.40766527712</v>
      </c>
      <c r="AL18">
        <v>-144.25304751954101</v>
      </c>
      <c r="AM18">
        <v>-66.8806946105869</v>
      </c>
      <c r="AN18">
        <v>2321.7704991628102</v>
      </c>
      <c r="AO18">
        <v>214.42702138253</v>
      </c>
      <c r="AP18">
        <v>0</v>
      </c>
      <c r="AQ18">
        <v>0</v>
      </c>
      <c r="AR18">
        <v>0</v>
      </c>
      <c r="AS18">
        <v>33.168999999999997</v>
      </c>
      <c r="AT18">
        <v>53.311815000000003</v>
      </c>
      <c r="AU18">
        <v>-7.4612999999999999E-2</v>
      </c>
      <c r="AV18">
        <v>0.11938</v>
      </c>
      <c r="AW18">
        <v>-9.3859471600000006</v>
      </c>
      <c r="AX18">
        <v>0.12442499999999999</v>
      </c>
      <c r="AY18">
        <v>1910.7565239236101</v>
      </c>
      <c r="AZ18">
        <v>328.43287362078598</v>
      </c>
    </row>
    <row r="19" spans="1:52" x14ac:dyDescent="0.35">
      <c r="A19" t="s">
        <v>71</v>
      </c>
      <c r="B19" t="s">
        <v>64</v>
      </c>
      <c r="C19">
        <v>0</v>
      </c>
      <c r="D19">
        <v>5.6450948628539201E-3</v>
      </c>
      <c r="E19">
        <v>7.4157411184010398E-3</v>
      </c>
      <c r="F19">
        <v>7.4157411184010398E-3</v>
      </c>
      <c r="G19">
        <v>7.4157411184010398E-3</v>
      </c>
      <c r="H19">
        <v>4.9844806962866502E-3</v>
      </c>
      <c r="I19">
        <v>5.42022049047874E-3</v>
      </c>
      <c r="J19">
        <v>33525.400352986202</v>
      </c>
      <c r="K19">
        <v>22640.571751539799</v>
      </c>
      <c r="L19">
        <v>0</v>
      </c>
      <c r="M19">
        <v>2167.5325199752901</v>
      </c>
      <c r="N19">
        <v>455.207266</v>
      </c>
      <c r="O19">
        <v>75.196142857142902</v>
      </c>
      <c r="P19">
        <v>3577.9254817948799</v>
      </c>
      <c r="Q19">
        <v>5421.8674436801102</v>
      </c>
      <c r="R19">
        <v>2707.36800671437</v>
      </c>
      <c r="S19">
        <v>329.06136490639801</v>
      </c>
      <c r="T19">
        <v>83.7498041831508</v>
      </c>
      <c r="U19">
        <v>159.87932479610899</v>
      </c>
      <c r="V19">
        <v>2672.8930555993402</v>
      </c>
      <c r="W19">
        <v>246.92287850459499</v>
      </c>
      <c r="X19">
        <v>0</v>
      </c>
      <c r="Y19">
        <v>0</v>
      </c>
      <c r="Z19">
        <v>0</v>
      </c>
      <c r="AA19">
        <v>38.700000000000003</v>
      </c>
      <c r="AB19">
        <v>126.49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2200.6662426483999</v>
      </c>
      <c r="AI19">
        <v>377.28419500524302</v>
      </c>
      <c r="AJ19">
        <v>-3160.2141076645598</v>
      </c>
      <c r="AK19">
        <v>-1582.30226798276</v>
      </c>
      <c r="AL19">
        <v>-138.868426349754</v>
      </c>
      <c r="AM19">
        <v>-66.540005437123796</v>
      </c>
      <c r="AN19">
        <v>2355.8022347515098</v>
      </c>
      <c r="AO19">
        <v>217.52621381792801</v>
      </c>
      <c r="AP19">
        <v>0</v>
      </c>
      <c r="AQ19">
        <v>0</v>
      </c>
      <c r="AR19">
        <v>0</v>
      </c>
      <c r="AS19">
        <v>33.587000000000003</v>
      </c>
      <c r="AT19">
        <v>54.158602500000001</v>
      </c>
      <c r="AU19">
        <v>-9.7818000000000002E-2</v>
      </c>
      <c r="AV19">
        <v>1.9599999999999999E-2</v>
      </c>
      <c r="AW19">
        <v>-7.4295444000000002</v>
      </c>
      <c r="AX19">
        <v>0.1008</v>
      </c>
      <c r="AY19">
        <v>1936.93890325185</v>
      </c>
      <c r="AZ19">
        <v>331.93008202076902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5C084-7768-4D95-BA53-C22C050E5BFC}">
  <dimension ref="A1:AZ18"/>
  <sheetViews>
    <sheetView workbookViewId="0">
      <selection activeCell="F22" sqref="F22"/>
    </sheetView>
  </sheetViews>
  <sheetFormatPr defaultRowHeight="14.5" x14ac:dyDescent="0.35"/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53</v>
      </c>
      <c r="B2" t="s">
        <v>52</v>
      </c>
      <c r="C2">
        <v>-1</v>
      </c>
      <c r="D2">
        <v>6.5827180472672903E-3</v>
      </c>
      <c r="E2">
        <v>-7.3827308982719097E-3</v>
      </c>
      <c r="F2">
        <v>2.1322445276172899E-3</v>
      </c>
      <c r="G2">
        <v>-5.6211972522079998E-3</v>
      </c>
      <c r="H2">
        <v>7.3926308378313701E-3</v>
      </c>
      <c r="I2">
        <v>5.6240487747767397E-3</v>
      </c>
      <c r="J2">
        <v>27530.1</v>
      </c>
      <c r="K2">
        <v>18693.099999999999</v>
      </c>
      <c r="L2">
        <v>0</v>
      </c>
      <c r="M2">
        <v>1738.8</v>
      </c>
      <c r="N2">
        <v>436.07272</v>
      </c>
      <c r="O2">
        <v>76.015142857142905</v>
      </c>
      <c r="P2">
        <v>2934.6</v>
      </c>
      <c r="Q2">
        <v>4210.6000000000004</v>
      </c>
      <c r="R2">
        <v>2236.1</v>
      </c>
      <c r="S2">
        <v>415.5</v>
      </c>
      <c r="T2">
        <v>46.2453234375524</v>
      </c>
      <c r="U2">
        <v>170.2</v>
      </c>
      <c r="V2">
        <v>2006.4268571428599</v>
      </c>
      <c r="W2">
        <v>183.8</v>
      </c>
      <c r="X2">
        <v>0</v>
      </c>
      <c r="Y2">
        <v>0</v>
      </c>
      <c r="Z2">
        <v>0</v>
      </c>
      <c r="AA2">
        <v>32.799999999999997</v>
      </c>
      <c r="AB2">
        <v>101.3</v>
      </c>
      <c r="AC2">
        <v>12.726000000000001</v>
      </c>
      <c r="AD2">
        <v>1.4159999999999999</v>
      </c>
      <c r="AE2">
        <v>12</v>
      </c>
      <c r="AF2">
        <v>45</v>
      </c>
      <c r="AG2">
        <v>0.7</v>
      </c>
      <c r="AH2">
        <v>1659.9960000000001</v>
      </c>
      <c r="AI2">
        <v>267.10399999999998</v>
      </c>
      <c r="AJ2">
        <v>-2564.8380000000002</v>
      </c>
      <c r="AK2">
        <v>-1347.348</v>
      </c>
      <c r="AL2">
        <v>-144.40666666666701</v>
      </c>
      <c r="AM2">
        <v>-55.989999999999903</v>
      </c>
      <c r="AN2">
        <v>1790.1942428571399</v>
      </c>
      <c r="AO2">
        <v>188.1225</v>
      </c>
      <c r="AP2">
        <v>2.1783999999999999</v>
      </c>
      <c r="AQ2">
        <v>41.152999999999999</v>
      </c>
      <c r="AR2">
        <v>9.157</v>
      </c>
      <c r="AS2">
        <v>22.948</v>
      </c>
      <c r="AT2">
        <v>159.56190000000001</v>
      </c>
      <c r="AU2">
        <v>14.283010000000001</v>
      </c>
      <c r="AV2">
        <v>28.976026399999999</v>
      </c>
      <c r="AW2">
        <v>40.950000000000003</v>
      </c>
      <c r="AX2">
        <v>0.56789999999999996</v>
      </c>
      <c r="AY2">
        <v>1444.354425</v>
      </c>
      <c r="AZ2">
        <v>210.745575</v>
      </c>
    </row>
    <row r="3" spans="1:52" x14ac:dyDescent="0.35">
      <c r="A3" t="s">
        <v>54</v>
      </c>
      <c r="B3" t="s">
        <v>52</v>
      </c>
      <c r="C3">
        <v>-1</v>
      </c>
      <c r="D3">
        <v>9.4033912497384405E-3</v>
      </c>
      <c r="E3">
        <v>1.6732699313632499E-2</v>
      </c>
      <c r="F3">
        <v>3.5461795574054399E-4</v>
      </c>
      <c r="G3">
        <v>1.3706092737191901E-2</v>
      </c>
      <c r="H3">
        <v>6.7310092353773899E-3</v>
      </c>
      <c r="I3">
        <v>5.66871594180851E-3</v>
      </c>
      <c r="J3">
        <v>28074.799999999999</v>
      </c>
      <c r="K3">
        <v>18961.8</v>
      </c>
      <c r="L3">
        <v>0</v>
      </c>
      <c r="M3">
        <v>1784.4</v>
      </c>
      <c r="N3">
        <v>417.91594400000002</v>
      </c>
      <c r="O3">
        <v>76.015142857142905</v>
      </c>
      <c r="P3">
        <v>3005.4</v>
      </c>
      <c r="Q3">
        <v>4257.8999999999996</v>
      </c>
      <c r="R3">
        <v>2270.3000000000002</v>
      </c>
      <c r="S3">
        <v>428.4</v>
      </c>
      <c r="T3">
        <v>62.071265434561802</v>
      </c>
      <c r="U3">
        <v>168.5</v>
      </c>
      <c r="V3">
        <v>2016.4268571428599</v>
      </c>
      <c r="W3">
        <v>185.9</v>
      </c>
      <c r="X3">
        <v>0</v>
      </c>
      <c r="Y3">
        <v>0</v>
      </c>
      <c r="Z3">
        <v>0</v>
      </c>
      <c r="AA3">
        <v>34.9</v>
      </c>
      <c r="AB3">
        <v>103.5</v>
      </c>
      <c r="AC3">
        <v>12.726000000000001</v>
      </c>
      <c r="AD3">
        <v>1.4159999999999999</v>
      </c>
      <c r="AE3">
        <v>12</v>
      </c>
      <c r="AF3">
        <v>2.0815079999999999</v>
      </c>
      <c r="AG3">
        <v>0.7</v>
      </c>
      <c r="AH3">
        <v>1613.65</v>
      </c>
      <c r="AI3">
        <v>290.05</v>
      </c>
      <c r="AJ3">
        <v>-2589.1619999999998</v>
      </c>
      <c r="AK3">
        <v>-1357.6079999999999</v>
      </c>
      <c r="AL3">
        <v>-150.09666666666601</v>
      </c>
      <c r="AM3">
        <v>-58.886666666666599</v>
      </c>
      <c r="AN3">
        <v>1810.06238571429</v>
      </c>
      <c r="AO3">
        <v>184.0275</v>
      </c>
      <c r="AP3">
        <v>0</v>
      </c>
      <c r="AQ3">
        <v>41.152999999999999</v>
      </c>
      <c r="AR3">
        <v>0.67</v>
      </c>
      <c r="AS3">
        <v>26.181999999999999</v>
      </c>
      <c r="AT3">
        <v>136.667025</v>
      </c>
      <c r="AU3">
        <v>14.499352</v>
      </c>
      <c r="AV3">
        <v>22.994109999999999</v>
      </c>
      <c r="AW3">
        <v>32.3663016</v>
      </c>
      <c r="AX3">
        <v>0.5706</v>
      </c>
      <c r="AY3">
        <v>1456.9296750000001</v>
      </c>
      <c r="AZ3">
        <v>229.625325</v>
      </c>
    </row>
    <row r="4" spans="1:52" x14ac:dyDescent="0.35">
      <c r="A4" t="s">
        <v>55</v>
      </c>
      <c r="B4" t="s">
        <v>52</v>
      </c>
      <c r="C4">
        <v>-1</v>
      </c>
      <c r="D4">
        <v>7.0345422570261603E-3</v>
      </c>
      <c r="E4">
        <v>7.1349045804525201E-4</v>
      </c>
      <c r="F4">
        <v>3.2733964882640798E-3</v>
      </c>
      <c r="G4">
        <v>1.1916351882861301E-3</v>
      </c>
      <c r="H4">
        <v>4.5206985181696097E-3</v>
      </c>
      <c r="I4">
        <v>5.7213587002498097E-3</v>
      </c>
      <c r="J4">
        <v>28424.7</v>
      </c>
      <c r="K4">
        <v>19190.599999999999</v>
      </c>
      <c r="L4">
        <v>0</v>
      </c>
      <c r="M4">
        <v>1812</v>
      </c>
      <c r="N4">
        <v>434.04594400000002</v>
      </c>
      <c r="O4">
        <v>77.674142857142897</v>
      </c>
      <c r="P4">
        <v>3049</v>
      </c>
      <c r="Q4">
        <v>4302.2</v>
      </c>
      <c r="R4">
        <v>2301.1</v>
      </c>
      <c r="S4">
        <v>442.7</v>
      </c>
      <c r="T4">
        <v>68.312190099849303</v>
      </c>
      <c r="U4">
        <v>172.7</v>
      </c>
      <c r="V4">
        <v>2024.999</v>
      </c>
      <c r="W4">
        <v>189.5</v>
      </c>
      <c r="X4">
        <v>0</v>
      </c>
      <c r="Y4">
        <v>0</v>
      </c>
      <c r="Z4">
        <v>0</v>
      </c>
      <c r="AA4">
        <v>35.5</v>
      </c>
      <c r="AB4">
        <v>98</v>
      </c>
      <c r="AC4">
        <v>1.365</v>
      </c>
      <c r="AD4">
        <v>1.4790000000000001</v>
      </c>
      <c r="AE4">
        <v>4.2220000000000004</v>
      </c>
      <c r="AF4">
        <v>2.1006179999999999</v>
      </c>
      <c r="AG4">
        <v>0.7</v>
      </c>
      <c r="AH4">
        <v>1658.3879999999999</v>
      </c>
      <c r="AI4">
        <v>252.91200000000001</v>
      </c>
      <c r="AJ4">
        <v>-2609.9639999999999</v>
      </c>
      <c r="AK4">
        <v>-1367.9880000000001</v>
      </c>
      <c r="AL4">
        <v>-156.486666666666</v>
      </c>
      <c r="AM4">
        <v>-62.036666666666598</v>
      </c>
      <c r="AN4">
        <v>1814.99326071429</v>
      </c>
      <c r="AO4">
        <v>168.84</v>
      </c>
      <c r="AP4">
        <v>0</v>
      </c>
      <c r="AQ4">
        <v>41.152999999999999</v>
      </c>
      <c r="AR4">
        <v>0.17399999999999999</v>
      </c>
      <c r="AS4">
        <v>28.155000000000001</v>
      </c>
      <c r="AT4">
        <v>126.92700000000001</v>
      </c>
      <c r="AU4">
        <v>14.261253999999999</v>
      </c>
      <c r="AV4">
        <v>16.690380000000001</v>
      </c>
      <c r="AW4">
        <v>25.073979959999999</v>
      </c>
      <c r="AX4">
        <v>0.57330000000000003</v>
      </c>
      <c r="AY4">
        <v>1475.744625</v>
      </c>
      <c r="AZ4">
        <v>236.955375</v>
      </c>
    </row>
    <row r="5" spans="1:52" x14ac:dyDescent="0.35">
      <c r="A5" t="s">
        <v>56</v>
      </c>
      <c r="B5" t="s">
        <v>52</v>
      </c>
      <c r="C5">
        <v>-1</v>
      </c>
      <c r="D5">
        <v>1.02639296187683E-2</v>
      </c>
      <c r="E5">
        <v>8.7829949934576899E-3</v>
      </c>
      <c r="F5">
        <v>4.4129365950471601E-3</v>
      </c>
      <c r="G5">
        <v>7.9425584217567308E-3</v>
      </c>
      <c r="H5">
        <v>8.85261547068583E-3</v>
      </c>
      <c r="I5">
        <v>5.7507902356095401E-3</v>
      </c>
      <c r="J5">
        <v>28708.2</v>
      </c>
      <c r="K5">
        <v>19443.8</v>
      </c>
      <c r="L5">
        <v>0</v>
      </c>
      <c r="M5">
        <v>1834.3</v>
      </c>
      <c r="N5">
        <v>437.85294399999998</v>
      </c>
      <c r="O5">
        <v>77.674142857142897</v>
      </c>
      <c r="P5">
        <v>3097.5</v>
      </c>
      <c r="Q5">
        <v>4390.8999999999996</v>
      </c>
      <c r="R5">
        <v>2325.5</v>
      </c>
      <c r="S5">
        <v>472.3</v>
      </c>
      <c r="T5">
        <v>78.014538004655293</v>
      </c>
      <c r="U5">
        <v>173.2</v>
      </c>
      <c r="V5">
        <v>2131.8989999999999</v>
      </c>
      <c r="W5">
        <v>194.8</v>
      </c>
      <c r="X5">
        <v>0</v>
      </c>
      <c r="Y5">
        <v>0</v>
      </c>
      <c r="Z5">
        <v>0</v>
      </c>
      <c r="AA5">
        <v>35.5</v>
      </c>
      <c r="AB5">
        <v>95</v>
      </c>
      <c r="AC5">
        <v>1.365</v>
      </c>
      <c r="AD5">
        <v>1.4790000000000001</v>
      </c>
      <c r="AE5">
        <v>4.2220000000000004</v>
      </c>
      <c r="AF5">
        <v>2.5815299999999999</v>
      </c>
      <c r="AG5">
        <v>0.7</v>
      </c>
      <c r="AH5">
        <v>1680.3810000000001</v>
      </c>
      <c r="AI5">
        <v>298.11900000000003</v>
      </c>
      <c r="AJ5">
        <v>-2614.5120000000002</v>
      </c>
      <c r="AK5">
        <v>-1373.712</v>
      </c>
      <c r="AL5">
        <v>-162.89666666666599</v>
      </c>
      <c r="AM5">
        <v>-65.089999999999904</v>
      </c>
      <c r="AN5">
        <v>1840.44413571429</v>
      </c>
      <c r="AO5">
        <v>169.65</v>
      </c>
      <c r="AP5">
        <v>0</v>
      </c>
      <c r="AQ5">
        <v>34.128500000000003</v>
      </c>
      <c r="AR5">
        <v>0.08</v>
      </c>
      <c r="AS5">
        <v>29.581</v>
      </c>
      <c r="AT5">
        <v>118.68525</v>
      </c>
      <c r="AU5">
        <v>14.023156</v>
      </c>
      <c r="AV5">
        <v>12.61027</v>
      </c>
      <c r="AW5">
        <v>18.30645234</v>
      </c>
      <c r="AX5">
        <v>0.54179999999999995</v>
      </c>
      <c r="AY5">
        <v>1487.793375</v>
      </c>
      <c r="AZ5">
        <v>249.34162499999999</v>
      </c>
    </row>
    <row r="6" spans="1:52" x14ac:dyDescent="0.35">
      <c r="A6" t="s">
        <v>57</v>
      </c>
      <c r="B6" t="s">
        <v>52</v>
      </c>
      <c r="C6">
        <v>-1</v>
      </c>
      <c r="D6">
        <v>7.5830465908905999E-3</v>
      </c>
      <c r="E6">
        <v>2.81932988489686E-3</v>
      </c>
      <c r="F6">
        <v>2.4774521911605802E-3</v>
      </c>
      <c r="G6">
        <v>2.7475707923965099E-3</v>
      </c>
      <c r="H6">
        <v>6.418097894342E-3</v>
      </c>
      <c r="I6">
        <v>5.8015415021503997E-3</v>
      </c>
      <c r="J6">
        <v>29147</v>
      </c>
      <c r="K6">
        <v>19756.099999999999</v>
      </c>
      <c r="L6">
        <v>0</v>
      </c>
      <c r="M6">
        <v>1867.5</v>
      </c>
      <c r="N6">
        <v>447.07610899999997</v>
      </c>
      <c r="O6">
        <v>77.674142857142897</v>
      </c>
      <c r="P6">
        <v>3127.6</v>
      </c>
      <c r="Q6">
        <v>4456.6000000000004</v>
      </c>
      <c r="R6">
        <v>2363.6</v>
      </c>
      <c r="S6">
        <v>495.3</v>
      </c>
      <c r="T6">
        <v>85.438721583871398</v>
      </c>
      <c r="U6">
        <v>170.6</v>
      </c>
      <c r="V6">
        <v>2160.9989999999998</v>
      </c>
      <c r="W6">
        <v>199.2</v>
      </c>
      <c r="X6">
        <v>0</v>
      </c>
      <c r="Y6">
        <v>0</v>
      </c>
      <c r="Z6">
        <v>0</v>
      </c>
      <c r="AA6">
        <v>36.1</v>
      </c>
      <c r="AB6">
        <v>93</v>
      </c>
      <c r="AC6">
        <v>1.365</v>
      </c>
      <c r="AD6">
        <v>1.4790000000000001</v>
      </c>
      <c r="AE6">
        <v>4.2220000000000004</v>
      </c>
      <c r="AF6">
        <v>2.6040450000000002</v>
      </c>
      <c r="AG6">
        <v>0.7</v>
      </c>
      <c r="AH6">
        <v>1707.9780000000001</v>
      </c>
      <c r="AI6">
        <v>314.92200000000003</v>
      </c>
      <c r="AJ6">
        <v>-2622.4259999999999</v>
      </c>
      <c r="AK6">
        <v>-1378.08</v>
      </c>
      <c r="AL6">
        <v>-168.09666666666601</v>
      </c>
      <c r="AM6">
        <v>-67.456666666666607</v>
      </c>
      <c r="AN6">
        <v>1875.22286785714</v>
      </c>
      <c r="AO6">
        <v>173.11500000000001</v>
      </c>
      <c r="AP6">
        <v>0</v>
      </c>
      <c r="AQ6">
        <v>27.388000000000002</v>
      </c>
      <c r="AR6">
        <v>3.5000000000000003E-2</v>
      </c>
      <c r="AS6">
        <v>30.805</v>
      </c>
      <c r="AT6">
        <v>96.491024999999993</v>
      </c>
      <c r="AU6">
        <v>13.04705068</v>
      </c>
      <c r="AV6">
        <v>9.3279399999999999</v>
      </c>
      <c r="AW6">
        <v>11.95799418</v>
      </c>
      <c r="AX6">
        <v>0.40050000000000002</v>
      </c>
      <c r="AY6">
        <v>1498.5893249999999</v>
      </c>
      <c r="AZ6">
        <v>260.10067500000002</v>
      </c>
    </row>
    <row r="7" spans="1:52" x14ac:dyDescent="0.35">
      <c r="A7" t="s">
        <v>58</v>
      </c>
      <c r="B7" t="s">
        <v>52</v>
      </c>
      <c r="C7">
        <v>-1</v>
      </c>
      <c r="D7">
        <v>5.9965040624090403E-3</v>
      </c>
      <c r="E7">
        <v>3.9266711587164797E-3</v>
      </c>
      <c r="F7">
        <v>6.5105722135945197E-3</v>
      </c>
      <c r="G7">
        <v>4.4025399268810004E-3</v>
      </c>
      <c r="H7">
        <v>4.2217342333217304E-3</v>
      </c>
      <c r="I7">
        <v>5.75057221256969E-3</v>
      </c>
      <c r="J7">
        <v>29511.7</v>
      </c>
      <c r="K7">
        <v>20032.8</v>
      </c>
      <c r="L7">
        <v>0</v>
      </c>
      <c r="M7">
        <v>1917.9</v>
      </c>
      <c r="N7">
        <v>468.80533000000003</v>
      </c>
      <c r="O7">
        <v>77.674142857142897</v>
      </c>
      <c r="P7">
        <v>3169.1</v>
      </c>
      <c r="Q7">
        <v>4526.7</v>
      </c>
      <c r="R7">
        <v>2400.1</v>
      </c>
      <c r="S7">
        <v>490.6</v>
      </c>
      <c r="T7">
        <v>79.629002831748707</v>
      </c>
      <c r="U7">
        <v>170.1</v>
      </c>
      <c r="V7">
        <v>2181.299</v>
      </c>
      <c r="W7">
        <v>209</v>
      </c>
      <c r="X7">
        <v>0</v>
      </c>
      <c r="Y7">
        <v>0</v>
      </c>
      <c r="Z7">
        <v>0</v>
      </c>
      <c r="AA7">
        <v>37</v>
      </c>
      <c r="AB7">
        <v>92.1</v>
      </c>
      <c r="AC7">
        <v>1.365</v>
      </c>
      <c r="AD7">
        <v>1.4790000000000001</v>
      </c>
      <c r="AE7">
        <v>4.2220000000000004</v>
      </c>
      <c r="AF7">
        <v>2.626465</v>
      </c>
      <c r="AG7">
        <v>0.7</v>
      </c>
      <c r="AH7">
        <v>1744.3589999999999</v>
      </c>
      <c r="AI7">
        <v>315.44099999999997</v>
      </c>
      <c r="AJ7">
        <v>-2629.8420000000001</v>
      </c>
      <c r="AK7">
        <v>-1390.32</v>
      </c>
      <c r="AL7">
        <v>-172.826666666666</v>
      </c>
      <c r="AM7">
        <v>-69.003333333333202</v>
      </c>
      <c r="AN7">
        <v>1912.3190999999999</v>
      </c>
      <c r="AO7">
        <v>178.3125</v>
      </c>
      <c r="AP7">
        <v>0</v>
      </c>
      <c r="AQ7">
        <v>20.647500000000001</v>
      </c>
      <c r="AR7">
        <v>1.2E-2</v>
      </c>
      <c r="AS7">
        <v>31.843</v>
      </c>
      <c r="AT7">
        <v>75.838724999999997</v>
      </c>
      <c r="AU7">
        <v>8.5178419999999999</v>
      </c>
      <c r="AV7">
        <v>6.3509599999999997</v>
      </c>
      <c r="AW7">
        <v>8.1834538699999992</v>
      </c>
      <c r="AX7">
        <v>0.40139999999999998</v>
      </c>
      <c r="AY7">
        <v>1527.9988499999999</v>
      </c>
      <c r="AZ7">
        <v>265.81365</v>
      </c>
    </row>
    <row r="8" spans="1:52" x14ac:dyDescent="0.35">
      <c r="A8" t="s">
        <v>59</v>
      </c>
      <c r="B8" t="s">
        <v>52</v>
      </c>
      <c r="C8">
        <v>-1</v>
      </c>
      <c r="D8">
        <v>5.96880454980586E-3</v>
      </c>
      <c r="E8">
        <v>3.2787138184287002E-3</v>
      </c>
      <c r="F8">
        <v>3.5235297608449101E-3</v>
      </c>
      <c r="G8">
        <v>3.3257469520371302E-3</v>
      </c>
      <c r="H8">
        <v>6.2373920761720197E-3</v>
      </c>
      <c r="I8">
        <v>5.7438003942336096E-3</v>
      </c>
      <c r="J8">
        <v>29825.200000000001</v>
      </c>
      <c r="K8">
        <v>20351.3</v>
      </c>
      <c r="L8">
        <v>0</v>
      </c>
      <c r="M8">
        <v>1950</v>
      </c>
      <c r="N8">
        <v>473.51932570000002</v>
      </c>
      <c r="O8">
        <v>79.268142857142905</v>
      </c>
      <c r="P8">
        <v>3200.8</v>
      </c>
      <c r="Q8">
        <v>4590.3</v>
      </c>
      <c r="R8">
        <v>2436.6</v>
      </c>
      <c r="S8">
        <v>508.6</v>
      </c>
      <c r="T8">
        <v>71.179167218325304</v>
      </c>
      <c r="U8">
        <v>174.2</v>
      </c>
      <c r="V8">
        <v>2212.098</v>
      </c>
      <c r="W8">
        <v>204.3</v>
      </c>
      <c r="X8">
        <v>0</v>
      </c>
      <c r="Y8">
        <v>0</v>
      </c>
      <c r="Z8">
        <v>0</v>
      </c>
      <c r="AA8">
        <v>37.299999999999997</v>
      </c>
      <c r="AB8">
        <v>94</v>
      </c>
      <c r="AC8">
        <v>-0.90100000000000002</v>
      </c>
      <c r="AD8">
        <v>1.63</v>
      </c>
      <c r="AE8">
        <v>2.3719999999999999</v>
      </c>
      <c r="AF8">
        <v>2.6498349999999999</v>
      </c>
      <c r="AG8">
        <v>0.7</v>
      </c>
      <c r="AH8">
        <v>1786.6969999999999</v>
      </c>
      <c r="AI8">
        <v>314.303</v>
      </c>
      <c r="AJ8">
        <v>-2642.6219999999998</v>
      </c>
      <c r="AK8">
        <v>-1404.93</v>
      </c>
      <c r="AL8">
        <v>-177.31333333333299</v>
      </c>
      <c r="AM8">
        <v>-69.029999999999902</v>
      </c>
      <c r="AN8">
        <v>1954.416375</v>
      </c>
      <c r="AO8">
        <v>181.64250000000001</v>
      </c>
      <c r="AP8">
        <v>0</v>
      </c>
      <c r="AQ8">
        <v>13.836</v>
      </c>
      <c r="AR8">
        <v>0</v>
      </c>
      <c r="AS8">
        <v>32.631</v>
      </c>
      <c r="AT8">
        <v>65.877975000000006</v>
      </c>
      <c r="AU8">
        <v>6.5761909999999997</v>
      </c>
      <c r="AV8">
        <v>4.5609400000000004</v>
      </c>
      <c r="AW8">
        <v>6.1234737700000004</v>
      </c>
      <c r="AX8">
        <v>0.40229999999999999</v>
      </c>
      <c r="AY8">
        <v>1556.868375</v>
      </c>
      <c r="AZ8">
        <v>279.62662499999999</v>
      </c>
    </row>
    <row r="9" spans="1:52" x14ac:dyDescent="0.35">
      <c r="A9" t="s">
        <v>60</v>
      </c>
      <c r="B9" t="s">
        <v>52</v>
      </c>
      <c r="C9">
        <v>-1</v>
      </c>
      <c r="D9">
        <v>1.43536843788732E-2</v>
      </c>
      <c r="E9">
        <v>9.9039592768877006E-3</v>
      </c>
      <c r="F9">
        <v>6.6231529460465399E-3</v>
      </c>
      <c r="G9">
        <v>9.2720593289594699E-3</v>
      </c>
      <c r="H9">
        <v>8.4681202537228994E-3</v>
      </c>
      <c r="I9">
        <v>5.6201407847431602E-3</v>
      </c>
      <c r="J9">
        <v>30042.1</v>
      </c>
      <c r="K9">
        <v>20555</v>
      </c>
      <c r="L9">
        <v>0</v>
      </c>
      <c r="M9">
        <v>1949.7</v>
      </c>
      <c r="N9">
        <v>435.15299700000003</v>
      </c>
      <c r="O9">
        <v>79.268142857142905</v>
      </c>
      <c r="P9">
        <v>3245.8</v>
      </c>
      <c r="Q9">
        <v>4710.8999999999996</v>
      </c>
      <c r="R9">
        <v>2460.1</v>
      </c>
      <c r="S9">
        <v>469.2</v>
      </c>
      <c r="T9">
        <v>73.980636292422602</v>
      </c>
      <c r="U9">
        <v>184.4</v>
      </c>
      <c r="V9">
        <v>2312.7979999999998</v>
      </c>
      <c r="W9">
        <v>203.3</v>
      </c>
      <c r="X9">
        <v>0</v>
      </c>
      <c r="Y9">
        <v>0</v>
      </c>
      <c r="Z9">
        <v>0</v>
      </c>
      <c r="AA9">
        <v>37.1</v>
      </c>
      <c r="AB9">
        <v>107</v>
      </c>
      <c r="AC9">
        <v>-0.90100000000000002</v>
      </c>
      <c r="AD9">
        <v>1.63</v>
      </c>
      <c r="AE9">
        <v>2.3719999999999999</v>
      </c>
      <c r="AF9">
        <v>2.6454420000000001</v>
      </c>
      <c r="AG9">
        <v>0.7</v>
      </c>
      <c r="AH9">
        <v>1811.3320000000001</v>
      </c>
      <c r="AI9">
        <v>316.46800000000002</v>
      </c>
      <c r="AJ9">
        <v>-2684.8380000000002</v>
      </c>
      <c r="AK9">
        <v>-1421.4059999999999</v>
      </c>
      <c r="AL9">
        <v>-180.12</v>
      </c>
      <c r="AM9">
        <v>-69.019999999999897</v>
      </c>
      <c r="AN9">
        <v>1995.1186499999999</v>
      </c>
      <c r="AO9">
        <v>183.55500000000001</v>
      </c>
      <c r="AP9">
        <v>0</v>
      </c>
      <c r="AQ9">
        <v>7.0244999999999997</v>
      </c>
      <c r="AR9">
        <v>0</v>
      </c>
      <c r="AS9">
        <v>33.122999999999998</v>
      </c>
      <c r="AT9">
        <v>61.471350000000001</v>
      </c>
      <c r="AU9">
        <v>4.6345400000000003</v>
      </c>
      <c r="AV9">
        <v>3.8575400000000002</v>
      </c>
      <c r="AW9">
        <v>4.0318455000000002</v>
      </c>
      <c r="AX9">
        <v>0.3861</v>
      </c>
      <c r="AY9">
        <v>1586.3323499999999</v>
      </c>
      <c r="AZ9">
        <v>283.75515000000001</v>
      </c>
    </row>
    <row r="10" spans="1:52" x14ac:dyDescent="0.35">
      <c r="A10" t="s">
        <v>61</v>
      </c>
      <c r="B10" t="s">
        <v>52</v>
      </c>
      <c r="C10">
        <v>-1</v>
      </c>
      <c r="D10">
        <v>1.7075285770595101E-2</v>
      </c>
      <c r="E10">
        <v>2.3603401935479201E-3</v>
      </c>
      <c r="F10">
        <v>5.4340243356172397E-3</v>
      </c>
      <c r="G10">
        <v>2.9513034923756001E-3</v>
      </c>
      <c r="H10">
        <v>5.2878919202601297E-3</v>
      </c>
      <c r="I10">
        <v>5.7178013354441896E-3</v>
      </c>
      <c r="J10">
        <v>30485.7</v>
      </c>
      <c r="K10">
        <v>20789.900000000001</v>
      </c>
      <c r="L10">
        <v>-0.3</v>
      </c>
      <c r="M10">
        <v>1956.4</v>
      </c>
      <c r="N10">
        <v>411.32561950000002</v>
      </c>
      <c r="O10">
        <v>75.196142857142902</v>
      </c>
      <c r="P10">
        <v>3280.6</v>
      </c>
      <c r="Q10">
        <v>4944.5</v>
      </c>
      <c r="R10">
        <v>2490.5</v>
      </c>
      <c r="S10">
        <v>469.7</v>
      </c>
      <c r="T10">
        <v>88.394442804062294</v>
      </c>
      <c r="U10">
        <v>183</v>
      </c>
      <c r="V10">
        <v>2409.6979999999999</v>
      </c>
      <c r="W10">
        <v>203.5</v>
      </c>
      <c r="X10">
        <v>0</v>
      </c>
      <c r="Y10">
        <v>0</v>
      </c>
      <c r="Z10">
        <v>0</v>
      </c>
      <c r="AA10">
        <v>38</v>
      </c>
      <c r="AB10">
        <v>119.2</v>
      </c>
      <c r="AC10">
        <v>-0.90100000000000002</v>
      </c>
      <c r="AD10">
        <v>1.63</v>
      </c>
      <c r="AE10">
        <v>2.3719999999999999</v>
      </c>
      <c r="AF10">
        <v>2.6696</v>
      </c>
      <c r="AG10">
        <v>0.7</v>
      </c>
      <c r="AH10">
        <v>1877.66</v>
      </c>
      <c r="AI10">
        <v>319.14</v>
      </c>
      <c r="AJ10">
        <v>-2750.1239999999998</v>
      </c>
      <c r="AK10">
        <v>-1439.904</v>
      </c>
      <c r="AL10">
        <v>-181.59</v>
      </c>
      <c r="AM10">
        <v>-69.639999999999901</v>
      </c>
      <c r="AN10">
        <v>2051.0759250000001</v>
      </c>
      <c r="AO10">
        <v>184.52250000000001</v>
      </c>
      <c r="AP10">
        <v>0</v>
      </c>
      <c r="AQ10">
        <v>0.21299999999999999</v>
      </c>
      <c r="AR10">
        <v>0</v>
      </c>
      <c r="AS10">
        <v>33.619999999999997</v>
      </c>
      <c r="AT10">
        <v>55.255499999999998</v>
      </c>
      <c r="AU10">
        <v>2.7450070000000002</v>
      </c>
      <c r="AV10">
        <v>3.1726399999999999</v>
      </c>
      <c r="AW10">
        <v>2.3533202599999998</v>
      </c>
      <c r="AX10">
        <v>0.315</v>
      </c>
      <c r="AY10">
        <v>1624.5108</v>
      </c>
      <c r="AZ10">
        <v>284.70420000000001</v>
      </c>
    </row>
    <row r="11" spans="1:52" x14ac:dyDescent="0.35">
      <c r="A11" t="s">
        <v>62</v>
      </c>
      <c r="B11" t="s">
        <v>64</v>
      </c>
      <c r="C11">
        <v>0</v>
      </c>
      <c r="D11">
        <v>6.1258970181228304E-3</v>
      </c>
      <c r="E11">
        <v>7.7455120761196197E-3</v>
      </c>
      <c r="F11">
        <v>7.7455120761196197E-3</v>
      </c>
      <c r="G11">
        <v>7.7455120761196197E-3</v>
      </c>
      <c r="H11">
        <v>6.82357302500147E-3</v>
      </c>
      <c r="I11">
        <v>5.7366284367368304E-3</v>
      </c>
      <c r="J11">
        <v>30789.8133211637</v>
      </c>
      <c r="K11">
        <v>20995.963963143498</v>
      </c>
      <c r="L11">
        <v>-0.3</v>
      </c>
      <c r="M11">
        <v>1979.7453289370401</v>
      </c>
      <c r="N11">
        <v>413.92897650330599</v>
      </c>
      <c r="O11">
        <v>75.196142857142902</v>
      </c>
      <c r="P11">
        <v>3310.5812532774899</v>
      </c>
      <c r="Q11">
        <v>5095.9814170009804</v>
      </c>
      <c r="R11">
        <v>2509.6975039589302</v>
      </c>
      <c r="S11">
        <v>78.824649082816094</v>
      </c>
      <c r="T11">
        <v>97.957811266570204</v>
      </c>
      <c r="U11">
        <v>182.67713591115199</v>
      </c>
      <c r="V11">
        <v>2394.8924200000001</v>
      </c>
      <c r="W11">
        <v>220.14287186593299</v>
      </c>
      <c r="X11">
        <v>0</v>
      </c>
      <c r="Y11">
        <v>0</v>
      </c>
      <c r="Z11">
        <v>0</v>
      </c>
      <c r="AA11">
        <v>35.700000000000003</v>
      </c>
      <c r="AB11">
        <v>120.101</v>
      </c>
      <c r="AC11">
        <v>-0.90100000000000002</v>
      </c>
      <c r="AD11">
        <v>1.63</v>
      </c>
      <c r="AE11">
        <v>2.3719999999999999</v>
      </c>
      <c r="AF11">
        <v>-8.3069939999999995</v>
      </c>
      <c r="AG11">
        <v>0</v>
      </c>
      <c r="AH11">
        <v>1930.516129114</v>
      </c>
      <c r="AI11">
        <v>339.959203755283</v>
      </c>
      <c r="AJ11">
        <v>-2823.5137700401201</v>
      </c>
      <c r="AK11">
        <v>-1457.24370047507</v>
      </c>
      <c r="AL11">
        <v>-170.320821636094</v>
      </c>
      <c r="AM11">
        <v>-70.075904530371702</v>
      </c>
      <c r="AN11">
        <v>2099.1344445</v>
      </c>
      <c r="AO11">
        <v>187.02964616983499</v>
      </c>
      <c r="AP11">
        <v>0</v>
      </c>
      <c r="AQ11">
        <v>0.14199999999999999</v>
      </c>
      <c r="AR11">
        <v>0</v>
      </c>
      <c r="AS11">
        <v>33.460999999999999</v>
      </c>
      <c r="AT11">
        <v>50.492074500000001</v>
      </c>
      <c r="AU11">
        <v>0.85547399999999996</v>
      </c>
      <c r="AV11">
        <v>2.5840200000000002</v>
      </c>
      <c r="AW11">
        <v>0.19286449</v>
      </c>
      <c r="AX11">
        <v>0.28034999999999999</v>
      </c>
      <c r="AY11">
        <v>1666.39615405065</v>
      </c>
      <c r="AZ11">
        <v>290.220795844939</v>
      </c>
    </row>
    <row r="12" spans="1:52" x14ac:dyDescent="0.35">
      <c r="A12" t="s">
        <v>63</v>
      </c>
      <c r="B12" t="s">
        <v>64</v>
      </c>
      <c r="C12">
        <v>0</v>
      </c>
      <c r="D12">
        <v>2.3908712555843498E-2</v>
      </c>
      <c r="E12">
        <v>8.0020266414988495E-3</v>
      </c>
      <c r="F12">
        <v>8.0020266414988495E-3</v>
      </c>
      <c r="G12">
        <v>8.0020266414988495E-3</v>
      </c>
      <c r="H12">
        <v>6.4403632511693702E-3</v>
      </c>
      <c r="I12">
        <v>5.7166676591435799E-3</v>
      </c>
      <c r="J12">
        <v>31084.869660558699</v>
      </c>
      <c r="K12">
        <v>21194.8771240469</v>
      </c>
      <c r="L12">
        <v>-1.2</v>
      </c>
      <c r="M12">
        <v>2006.76290286156</v>
      </c>
      <c r="N12">
        <v>412.672286524193</v>
      </c>
      <c r="O12">
        <v>75.196142857142902</v>
      </c>
      <c r="P12">
        <v>3341.6818134933501</v>
      </c>
      <c r="Q12">
        <v>5181.7389156603203</v>
      </c>
      <c r="R12">
        <v>2535.4148309502998</v>
      </c>
      <c r="S12">
        <v>333.33760146829002</v>
      </c>
      <c r="T12">
        <v>109.65876198766399</v>
      </c>
      <c r="U12">
        <v>182.58554952119999</v>
      </c>
      <c r="V12">
        <v>2398.1707283999999</v>
      </c>
      <c r="W12">
        <v>223.32467758610201</v>
      </c>
      <c r="X12">
        <v>0</v>
      </c>
      <c r="Y12">
        <v>0</v>
      </c>
      <c r="Z12">
        <v>0</v>
      </c>
      <c r="AA12">
        <v>35.700000000000003</v>
      </c>
      <c r="AB12">
        <v>124.44</v>
      </c>
      <c r="AC12">
        <v>-2.15</v>
      </c>
      <c r="AD12">
        <v>1.671</v>
      </c>
      <c r="AE12">
        <v>0.49</v>
      </c>
      <c r="AF12">
        <v>-8.2824600000000004</v>
      </c>
      <c r="AG12">
        <v>0</v>
      </c>
      <c r="AH12">
        <v>1966.5820695812999</v>
      </c>
      <c r="AI12">
        <v>343.221466481981</v>
      </c>
      <c r="AJ12">
        <v>-2890.5204399193599</v>
      </c>
      <c r="AK12">
        <v>-1473.9974801891101</v>
      </c>
      <c r="AL12">
        <v>-167.455408351703</v>
      </c>
      <c r="AM12">
        <v>-70.202089514411696</v>
      </c>
      <c r="AN12">
        <v>2141.0008083900002</v>
      </c>
      <c r="AO12">
        <v>191.310198626708</v>
      </c>
      <c r="AP12">
        <v>0</v>
      </c>
      <c r="AQ12">
        <v>7.0999999999999994E-2</v>
      </c>
      <c r="AR12">
        <v>0</v>
      </c>
      <c r="AS12">
        <v>33.286000000000001</v>
      </c>
      <c r="AT12">
        <v>48.391422749999997</v>
      </c>
      <c r="AU12">
        <v>0.573855</v>
      </c>
      <c r="AV12">
        <v>2.0411199999999998</v>
      </c>
      <c r="AW12">
        <v>-1.6414568300000001</v>
      </c>
      <c r="AX12">
        <v>0.25042500000000001</v>
      </c>
      <c r="AY12">
        <v>1706.8702947064401</v>
      </c>
      <c r="AZ12">
        <v>296.72745080338399</v>
      </c>
    </row>
    <row r="13" spans="1:52" x14ac:dyDescent="0.35">
      <c r="A13" t="s">
        <v>65</v>
      </c>
      <c r="B13" t="s">
        <v>64</v>
      </c>
      <c r="C13">
        <v>0</v>
      </c>
      <c r="D13">
        <v>-1.6001070287545702E-2</v>
      </c>
      <c r="E13">
        <v>8.1899949055919095E-3</v>
      </c>
      <c r="F13">
        <v>8.1899949055919095E-3</v>
      </c>
      <c r="G13">
        <v>8.1899949055919095E-3</v>
      </c>
      <c r="H13">
        <v>5.5705631240370304E-3</v>
      </c>
      <c r="I13">
        <v>5.6799438349561804E-3</v>
      </c>
      <c r="J13">
        <v>31389.687413637701</v>
      </c>
      <c r="K13">
        <v>21376.265783685802</v>
      </c>
      <c r="L13">
        <v>1.36</v>
      </c>
      <c r="M13">
        <v>2051.1056274537</v>
      </c>
      <c r="N13">
        <v>415.45334123076702</v>
      </c>
      <c r="O13">
        <v>75.196142857142902</v>
      </c>
      <c r="P13">
        <v>3373.66737243847</v>
      </c>
      <c r="Q13">
        <v>5110.0120759270703</v>
      </c>
      <c r="R13">
        <v>2559.0590586030198</v>
      </c>
      <c r="S13">
        <v>331.27795026126302</v>
      </c>
      <c r="T13">
        <v>134.709036355557</v>
      </c>
      <c r="U13">
        <v>182.806434344026</v>
      </c>
      <c r="V13">
        <v>2470.5012189680001</v>
      </c>
      <c r="W13">
        <v>226.55247111207601</v>
      </c>
      <c r="X13">
        <v>0</v>
      </c>
      <c r="Y13">
        <v>0</v>
      </c>
      <c r="Z13">
        <v>0</v>
      </c>
      <c r="AA13">
        <v>35.700000000000003</v>
      </c>
      <c r="AB13">
        <v>122.29</v>
      </c>
      <c r="AC13">
        <v>0</v>
      </c>
      <c r="AD13">
        <v>0</v>
      </c>
      <c r="AE13">
        <v>0</v>
      </c>
      <c r="AF13">
        <v>-8.2824600000000004</v>
      </c>
      <c r="AG13">
        <v>0</v>
      </c>
      <c r="AH13">
        <v>2002.2037792257699</v>
      </c>
      <c r="AI13">
        <v>347.734848471004</v>
      </c>
      <c r="AJ13">
        <v>-2934.5090040105501</v>
      </c>
      <c r="AK13">
        <v>-1490.97271698393</v>
      </c>
      <c r="AL13">
        <v>-164.52467336041201</v>
      </c>
      <c r="AM13">
        <v>-70.498970659212503</v>
      </c>
      <c r="AN13">
        <v>2176.4840326578001</v>
      </c>
      <c r="AO13">
        <v>196.54200462692501</v>
      </c>
      <c r="AP13">
        <v>0</v>
      </c>
      <c r="AQ13">
        <v>0</v>
      </c>
      <c r="AR13">
        <v>0</v>
      </c>
      <c r="AS13">
        <v>33.119</v>
      </c>
      <c r="AT13">
        <v>48.723430499999999</v>
      </c>
      <c r="AU13">
        <v>0.37823600000000002</v>
      </c>
      <c r="AV13">
        <v>1.53068</v>
      </c>
      <c r="AW13">
        <v>-3.3871226600000002</v>
      </c>
      <c r="AX13">
        <v>0.22207499999999999</v>
      </c>
      <c r="AY13">
        <v>1749.8164450322399</v>
      </c>
      <c r="AZ13">
        <v>303.76249170936001</v>
      </c>
    </row>
    <row r="14" spans="1:52" x14ac:dyDescent="0.35">
      <c r="A14" t="s">
        <v>66</v>
      </c>
      <c r="B14" t="s">
        <v>64</v>
      </c>
      <c r="C14">
        <v>0</v>
      </c>
      <c r="D14">
        <v>5.6496540320822904E-3</v>
      </c>
      <c r="E14">
        <v>7.7655046872424603E-3</v>
      </c>
      <c r="F14">
        <v>7.7655046872424603E-3</v>
      </c>
      <c r="G14">
        <v>7.7655046872424603E-3</v>
      </c>
      <c r="H14">
        <v>5.3021706673404001E-3</v>
      </c>
      <c r="I14">
        <v>5.6310426470525003E-3</v>
      </c>
      <c r="J14">
        <v>31693.599468539898</v>
      </c>
      <c r="K14">
        <v>21572.258194378501</v>
      </c>
      <c r="L14">
        <v>-0.64</v>
      </c>
      <c r="M14">
        <v>2076.1747609956301</v>
      </c>
      <c r="N14">
        <v>415.45879880000001</v>
      </c>
      <c r="O14">
        <v>75.196142857142902</v>
      </c>
      <c r="P14">
        <v>3403.4892424387999</v>
      </c>
      <c r="Q14">
        <v>5151.70420052385</v>
      </c>
      <c r="R14">
        <v>2583.6934562143701</v>
      </c>
      <c r="S14">
        <v>329.231025380566</v>
      </c>
      <c r="T14">
        <v>155.20684462483899</v>
      </c>
      <c r="U14">
        <v>183.16739246912999</v>
      </c>
      <c r="V14">
        <v>2497.83645102736</v>
      </c>
      <c r="W14">
        <v>229.82691712249201</v>
      </c>
      <c r="X14">
        <v>0</v>
      </c>
      <c r="Y14">
        <v>0</v>
      </c>
      <c r="Z14">
        <v>0</v>
      </c>
      <c r="AA14">
        <v>35.700000000000003</v>
      </c>
      <c r="AB14">
        <v>122.29</v>
      </c>
      <c r="AC14">
        <v>0</v>
      </c>
      <c r="AD14">
        <v>0</v>
      </c>
      <c r="AE14">
        <v>0</v>
      </c>
      <c r="AF14">
        <v>-8.2824600000000004</v>
      </c>
      <c r="AG14">
        <v>0</v>
      </c>
      <c r="AH14">
        <v>2039.6153784524599</v>
      </c>
      <c r="AI14">
        <v>351.19001216712701</v>
      </c>
      <c r="AJ14">
        <v>-2974.4131731337902</v>
      </c>
      <c r="AK14">
        <v>-1507.07504187264</v>
      </c>
      <c r="AL14">
        <v>-161.64904087309799</v>
      </c>
      <c r="AM14">
        <v>-70.931217074850196</v>
      </c>
      <c r="AN14">
        <v>2196.3151841389599</v>
      </c>
      <c r="AO14">
        <v>202.46556097948601</v>
      </c>
      <c r="AP14">
        <v>0</v>
      </c>
      <c r="AQ14">
        <v>0</v>
      </c>
      <c r="AR14">
        <v>0</v>
      </c>
      <c r="AS14">
        <v>32.896000000000001</v>
      </c>
      <c r="AT14">
        <v>49.248960750000002</v>
      </c>
      <c r="AU14">
        <v>0.211344</v>
      </c>
      <c r="AV14">
        <v>1.05376</v>
      </c>
      <c r="AW14">
        <v>-5.0256664500000001</v>
      </c>
      <c r="AX14">
        <v>0.1953</v>
      </c>
      <c r="AY14">
        <v>1786.25640518404</v>
      </c>
      <c r="AZ14">
        <v>310.97374444696402</v>
      </c>
    </row>
    <row r="15" spans="1:52" x14ac:dyDescent="0.35">
      <c r="A15" t="s">
        <v>67</v>
      </c>
      <c r="B15" t="s">
        <v>64</v>
      </c>
      <c r="C15">
        <v>0</v>
      </c>
      <c r="D15">
        <v>5.7657657657657103E-3</v>
      </c>
      <c r="E15">
        <v>7.6646909789202002E-3</v>
      </c>
      <c r="F15">
        <v>7.6646909789202002E-3</v>
      </c>
      <c r="G15">
        <v>7.6646909789202002E-3</v>
      </c>
      <c r="H15">
        <v>5.2862345924600297E-3</v>
      </c>
      <c r="I15">
        <v>5.5869659763809797E-3</v>
      </c>
      <c r="J15">
        <v>31990.869736811699</v>
      </c>
      <c r="K15">
        <v>21743.5753015667</v>
      </c>
      <c r="L15">
        <v>-0.24</v>
      </c>
      <c r="M15">
        <v>2096.6666378708801</v>
      </c>
      <c r="N15">
        <v>419.29492924343799</v>
      </c>
      <c r="O15">
        <v>75.196142857142902</v>
      </c>
      <c r="P15">
        <v>3433.8730194392001</v>
      </c>
      <c r="Q15">
        <v>5193.7941617427896</v>
      </c>
      <c r="R15">
        <v>2606.14312342119</v>
      </c>
      <c r="S15">
        <v>327.196748191827</v>
      </c>
      <c r="T15">
        <v>162.82034425593901</v>
      </c>
      <c r="U15">
        <v>182.98421968922599</v>
      </c>
      <c r="V15">
        <v>2527.2009477279098</v>
      </c>
      <c r="W15">
        <v>233.14868990282699</v>
      </c>
      <c r="X15">
        <v>0</v>
      </c>
      <c r="Y15">
        <v>0</v>
      </c>
      <c r="Z15">
        <v>0</v>
      </c>
      <c r="AA15">
        <v>35.700000000000003</v>
      </c>
      <c r="AB15">
        <v>122.29</v>
      </c>
      <c r="AC15">
        <v>0</v>
      </c>
      <c r="AD15">
        <v>0</v>
      </c>
      <c r="AE15">
        <v>0</v>
      </c>
      <c r="AF15">
        <v>-11</v>
      </c>
      <c r="AG15">
        <v>0</v>
      </c>
      <c r="AH15">
        <v>2075.4516452499402</v>
      </c>
      <c r="AI15">
        <v>356.96606024838098</v>
      </c>
      <c r="AJ15">
        <v>-3019.4657479872999</v>
      </c>
      <c r="AK15">
        <v>-1522.262673167</v>
      </c>
      <c r="AL15">
        <v>-158.27559914615901</v>
      </c>
      <c r="AM15">
        <v>-71.414024397824406</v>
      </c>
      <c r="AN15">
        <v>2226.0846028777401</v>
      </c>
      <c r="AO15">
        <v>205.39187003778699</v>
      </c>
      <c r="AP15">
        <v>0</v>
      </c>
      <c r="AQ15">
        <v>0</v>
      </c>
      <c r="AR15">
        <v>0</v>
      </c>
      <c r="AS15">
        <v>32.735999999999997</v>
      </c>
      <c r="AT15">
        <v>49.830986250000002</v>
      </c>
      <c r="AU15">
        <v>-4.9980000000000302E-3</v>
      </c>
      <c r="AV15">
        <v>0.61906000000000005</v>
      </c>
      <c r="AW15">
        <v>-6.55146476</v>
      </c>
      <c r="AX15">
        <v>0.17167499999999999</v>
      </c>
      <c r="AY15">
        <v>1818.8668963146299</v>
      </c>
      <c r="AZ15">
        <v>314.80028715791099</v>
      </c>
    </row>
    <row r="16" spans="1:52" x14ac:dyDescent="0.35">
      <c r="A16" t="s">
        <v>68</v>
      </c>
      <c r="B16" t="s">
        <v>64</v>
      </c>
      <c r="C16">
        <v>0</v>
      </c>
      <c r="D16">
        <v>5.91965033365316E-3</v>
      </c>
      <c r="E16">
        <v>7.66526403461443E-3</v>
      </c>
      <c r="F16">
        <v>7.66526403461443E-3</v>
      </c>
      <c r="G16">
        <v>7.66526403461443E-3</v>
      </c>
      <c r="H16">
        <v>5.3103439607804503E-3</v>
      </c>
      <c r="I16">
        <v>5.5476079579479497E-3</v>
      </c>
      <c r="J16">
        <v>32289.649502044998</v>
      </c>
      <c r="K16">
        <v>21937.6541172937</v>
      </c>
      <c r="L16">
        <v>-0.24</v>
      </c>
      <c r="M16">
        <v>2110.0288923811499</v>
      </c>
      <c r="N16">
        <v>421.159005233161</v>
      </c>
      <c r="O16">
        <v>75.196142857142902</v>
      </c>
      <c r="P16">
        <v>3463.5245461557802</v>
      </c>
      <c r="Q16">
        <v>5236.2862263735597</v>
      </c>
      <c r="R16">
        <v>2630.5010308349101</v>
      </c>
      <c r="S16">
        <v>325.17504054654398</v>
      </c>
      <c r="T16">
        <v>160.44502735686899</v>
      </c>
      <c r="U16">
        <v>183.205104512052</v>
      </c>
      <c r="V16">
        <v>2548.7177343624699</v>
      </c>
      <c r="W16">
        <v>236.51847348425699</v>
      </c>
      <c r="X16">
        <v>0</v>
      </c>
      <c r="Y16">
        <v>0</v>
      </c>
      <c r="Z16">
        <v>0</v>
      </c>
      <c r="AA16">
        <v>35.700000000000003</v>
      </c>
      <c r="AB16">
        <v>122.29</v>
      </c>
      <c r="AC16">
        <v>0</v>
      </c>
      <c r="AD16">
        <v>0</v>
      </c>
      <c r="AE16">
        <v>0</v>
      </c>
      <c r="AF16">
        <v>-11</v>
      </c>
      <c r="AG16">
        <v>0</v>
      </c>
      <c r="AH16">
        <v>2094.6750932063301</v>
      </c>
      <c r="AI16">
        <v>356.02195707359903</v>
      </c>
      <c r="AJ16">
        <v>-3063.2998431206902</v>
      </c>
      <c r="AK16">
        <v>-1536.7051894943299</v>
      </c>
      <c r="AL16">
        <v>-154.35810049771001</v>
      </c>
      <c r="AM16">
        <v>-71.764194548226101</v>
      </c>
      <c r="AN16">
        <v>2259.9576792192902</v>
      </c>
      <c r="AO16">
        <v>208.36047411487201</v>
      </c>
      <c r="AP16">
        <v>0</v>
      </c>
      <c r="AQ16">
        <v>0</v>
      </c>
      <c r="AR16">
        <v>0</v>
      </c>
      <c r="AS16">
        <v>32.658000000000001</v>
      </c>
      <c r="AT16">
        <v>50.555598750000001</v>
      </c>
      <c r="AU16">
        <v>-2.8202999999999999E-2</v>
      </c>
      <c r="AV16">
        <v>0.37618000000000001</v>
      </c>
      <c r="AW16">
        <v>-7.5590360199999997</v>
      </c>
      <c r="AX16">
        <v>0.14804999999999999</v>
      </c>
      <c r="AY16">
        <v>1847.6878266302599</v>
      </c>
      <c r="AZ16">
        <v>317.680397541025</v>
      </c>
    </row>
    <row r="17" spans="1:52" x14ac:dyDescent="0.35">
      <c r="A17" t="s">
        <v>69</v>
      </c>
      <c r="B17" t="s">
        <v>64</v>
      </c>
      <c r="C17">
        <v>0</v>
      </c>
      <c r="D17">
        <v>5.55665251195214E-3</v>
      </c>
      <c r="E17">
        <v>7.5496406264195003E-3</v>
      </c>
      <c r="F17">
        <v>7.5496406264195003E-3</v>
      </c>
      <c r="G17">
        <v>7.5496406264195003E-3</v>
      </c>
      <c r="H17">
        <v>5.0315604958042198E-3</v>
      </c>
      <c r="I17">
        <v>5.5045947443734802E-3</v>
      </c>
      <c r="J17">
        <v>32596.077385216198</v>
      </c>
      <c r="K17">
        <v>22144.120942535199</v>
      </c>
      <c r="L17">
        <v>-0.04</v>
      </c>
      <c r="M17">
        <v>2128.2627261023699</v>
      </c>
      <c r="N17">
        <v>424.05130212799799</v>
      </c>
      <c r="O17">
        <v>75.196142857142902</v>
      </c>
      <c r="P17">
        <v>3492.5288632414199</v>
      </c>
      <c r="Q17">
        <v>5389.9773073281103</v>
      </c>
      <c r="R17">
        <v>2656.2474587717002</v>
      </c>
      <c r="S17">
        <v>333.16582477908599</v>
      </c>
      <c r="T17">
        <v>141.087149371202</v>
      </c>
      <c r="U17">
        <v>182.85492125635301</v>
      </c>
      <c r="V17">
        <v>2617.5289028977099</v>
      </c>
      <c r="W17">
        <v>239.93696178451</v>
      </c>
      <c r="X17">
        <v>0</v>
      </c>
      <c r="Y17">
        <v>0</v>
      </c>
      <c r="Z17">
        <v>0</v>
      </c>
      <c r="AA17">
        <v>36.700000000000003</v>
      </c>
      <c r="AB17">
        <v>122.29</v>
      </c>
      <c r="AC17">
        <v>0</v>
      </c>
      <c r="AD17">
        <v>0</v>
      </c>
      <c r="AE17">
        <v>0</v>
      </c>
      <c r="AF17">
        <v>-11</v>
      </c>
      <c r="AG17">
        <v>0</v>
      </c>
      <c r="AH17">
        <v>2126.3722781951101</v>
      </c>
      <c r="AI17">
        <v>361.33000120633102</v>
      </c>
      <c r="AJ17">
        <v>-3115.8154702954998</v>
      </c>
      <c r="AK17">
        <v>-1551.48029714166</v>
      </c>
      <c r="AL17">
        <v>-149.720294657013</v>
      </c>
      <c r="AM17">
        <v>-72.086025256771293</v>
      </c>
      <c r="AN17">
        <v>2293.03890810348</v>
      </c>
      <c r="AO17">
        <v>211.37198451616899</v>
      </c>
      <c r="AP17">
        <v>0</v>
      </c>
      <c r="AQ17">
        <v>0</v>
      </c>
      <c r="AR17">
        <v>0</v>
      </c>
      <c r="AS17">
        <v>32.779000000000003</v>
      </c>
      <c r="AT17">
        <v>51.320036250000001</v>
      </c>
      <c r="AU17">
        <v>-5.1408000000000002E-2</v>
      </c>
      <c r="AV17">
        <v>0.23798</v>
      </c>
      <c r="AW17">
        <v>-8.5404791000000007</v>
      </c>
      <c r="AX17">
        <v>0.12442499999999999</v>
      </c>
      <c r="AY17">
        <v>1875.6257388983599</v>
      </c>
      <c r="AZ17">
        <v>320.73930690647398</v>
      </c>
    </row>
    <row r="18" spans="1:52" x14ac:dyDescent="0.35">
      <c r="A18" t="s">
        <v>70</v>
      </c>
      <c r="B18" t="s">
        <v>64</v>
      </c>
      <c r="C18">
        <v>0</v>
      </c>
      <c r="D18">
        <v>5.4914304880231404E-3</v>
      </c>
      <c r="E18">
        <v>7.4988972991580898E-3</v>
      </c>
      <c r="F18">
        <v>7.4988972991580898E-3</v>
      </c>
      <c r="G18">
        <v>7.4988972991580898E-3</v>
      </c>
      <c r="H18">
        <v>5.0077163079846904E-3</v>
      </c>
      <c r="I18">
        <v>5.45389484594594E-3</v>
      </c>
      <c r="J18">
        <v>32894.353984795598</v>
      </c>
      <c r="K18">
        <v>22328.329636860399</v>
      </c>
      <c r="L18">
        <v>-0.04</v>
      </c>
      <c r="M18">
        <v>2142.6243339264702</v>
      </c>
      <c r="N18">
        <v>426.97209800000002</v>
      </c>
      <c r="O18">
        <v>75.196142857142902</v>
      </c>
      <c r="P18">
        <v>3522.3379634021999</v>
      </c>
      <c r="Q18">
        <v>5423.1065225099401</v>
      </c>
      <c r="R18">
        <v>2679.9910225171898</v>
      </c>
      <c r="S18">
        <v>331.10723495866398</v>
      </c>
      <c r="T18">
        <v>113.587540235893</v>
      </c>
      <c r="U18">
        <v>182.18149191847101</v>
      </c>
      <c r="V18">
        <v>2647.83382971231</v>
      </c>
      <c r="W18">
        <v>243.404858750762</v>
      </c>
      <c r="X18">
        <v>0</v>
      </c>
      <c r="Y18">
        <v>0</v>
      </c>
      <c r="Z18">
        <v>0</v>
      </c>
      <c r="AA18">
        <v>37.700000000000003</v>
      </c>
      <c r="AB18">
        <v>122.29</v>
      </c>
      <c r="AC18">
        <v>0</v>
      </c>
      <c r="AD18">
        <v>0</v>
      </c>
      <c r="AE18">
        <v>0</v>
      </c>
      <c r="AF18">
        <v>-11</v>
      </c>
      <c r="AG18">
        <v>0</v>
      </c>
      <c r="AH18">
        <v>2158.56675473627</v>
      </c>
      <c r="AI18">
        <v>366.69952837461</v>
      </c>
      <c r="AJ18">
        <v>-3155.7410794142802</v>
      </c>
      <c r="AK18">
        <v>-1565.8191579936299</v>
      </c>
      <c r="AL18">
        <v>-144.24720248896799</v>
      </c>
      <c r="AM18">
        <v>-72.472074987386904</v>
      </c>
      <c r="AN18">
        <v>2326.7883183075901</v>
      </c>
      <c r="AO18">
        <v>214.42702138253</v>
      </c>
      <c r="AP18">
        <v>0</v>
      </c>
      <c r="AQ18">
        <v>0</v>
      </c>
      <c r="AR18">
        <v>0</v>
      </c>
      <c r="AS18">
        <v>33.057000000000002</v>
      </c>
      <c r="AT18">
        <v>52.057023749999999</v>
      </c>
      <c r="AU18">
        <v>-7.4612999999999999E-2</v>
      </c>
      <c r="AV18">
        <v>0.11938</v>
      </c>
      <c r="AW18">
        <v>-9.3859471600000006</v>
      </c>
      <c r="AX18">
        <v>0.1008</v>
      </c>
      <c r="AY18">
        <v>1902.38979856222</v>
      </c>
      <c r="AZ18">
        <v>324.22894805315701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74114-F7E8-447C-831D-F11916E98695}">
  <dimension ref="A1:AZ18"/>
  <sheetViews>
    <sheetView tabSelected="1" workbookViewId="0">
      <selection activeCell="K7" sqref="K7"/>
    </sheetView>
  </sheetViews>
  <sheetFormatPr defaultRowHeight="14.5" x14ac:dyDescent="0.35"/>
  <sheetData>
    <row r="1" spans="1:52" s="1" customFormat="1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5">
      <c r="A2" t="s">
        <v>53</v>
      </c>
      <c r="B2" t="s">
        <v>52</v>
      </c>
      <c r="C2">
        <v>-1</v>
      </c>
      <c r="D2">
        <f>'01-13'!D2-'12-05'!D2</f>
        <v>0</v>
      </c>
      <c r="E2">
        <f>'01-13'!E2-'12-05'!E2</f>
        <v>0</v>
      </c>
      <c r="F2">
        <f>'01-13'!F2-'12-05'!F2</f>
        <v>0</v>
      </c>
      <c r="G2">
        <f>'01-13'!G2-'12-05'!G2</f>
        <v>0</v>
      </c>
      <c r="H2">
        <f>'01-13'!H2-'12-05'!H2</f>
        <v>0</v>
      </c>
      <c r="I2">
        <f>'01-13'!I2-'12-05'!I2</f>
        <v>0</v>
      </c>
      <c r="J2">
        <f>'01-13'!J2-'12-05'!J2</f>
        <v>0</v>
      </c>
      <c r="K2">
        <f>'01-13'!K2-'12-05'!K2</f>
        <v>0</v>
      </c>
      <c r="L2">
        <f>'01-13'!L2-'12-05'!L2</f>
        <v>0</v>
      </c>
      <c r="M2">
        <f>'01-13'!M2-'12-05'!M2</f>
        <v>0</v>
      </c>
      <c r="N2">
        <f>'01-13'!N2-'12-05'!N2</f>
        <v>0</v>
      </c>
      <c r="O2">
        <f>'01-13'!O2-'12-05'!O2</f>
        <v>0</v>
      </c>
      <c r="P2">
        <f>'01-13'!P2-'12-05'!P2</f>
        <v>0</v>
      </c>
      <c r="Q2">
        <f>'01-13'!Q2-'12-05'!Q2</f>
        <v>0</v>
      </c>
      <c r="R2">
        <f>'01-13'!R2-'12-05'!R2</f>
        <v>0</v>
      </c>
      <c r="S2">
        <f>'01-13'!S2-'12-05'!S2</f>
        <v>0</v>
      </c>
      <c r="T2">
        <f>'01-13'!T2-'12-05'!T2</f>
        <v>0</v>
      </c>
      <c r="U2">
        <f>'01-13'!U2-'12-05'!U2</f>
        <v>0</v>
      </c>
      <c r="V2">
        <f>'01-13'!V2-'12-05'!V2</f>
        <v>0</v>
      </c>
      <c r="W2">
        <f>'01-13'!W2-'12-05'!W2</f>
        <v>0</v>
      </c>
      <c r="X2">
        <f>'01-13'!X2-'12-05'!X2</f>
        <v>0</v>
      </c>
      <c r="Y2">
        <f>'01-13'!Y2-'12-05'!Y2</f>
        <v>0</v>
      </c>
      <c r="Z2">
        <f>'01-13'!Z2-'12-05'!Z2</f>
        <v>0</v>
      </c>
      <c r="AA2">
        <f>'01-13'!AA2-'12-05'!AA2</f>
        <v>0</v>
      </c>
      <c r="AB2">
        <f>'01-13'!AB2-'12-05'!AB2</f>
        <v>0</v>
      </c>
      <c r="AC2">
        <f>'01-13'!AC2-'12-05'!AC2</f>
        <v>0</v>
      </c>
      <c r="AD2">
        <f>'01-13'!AD2-'12-05'!AD2</f>
        <v>0</v>
      </c>
      <c r="AE2">
        <f>'01-13'!AE2-'12-05'!AE2</f>
        <v>0</v>
      </c>
      <c r="AF2">
        <f>'01-13'!AF2-'12-05'!AF2</f>
        <v>0</v>
      </c>
      <c r="AG2">
        <f>'01-13'!AG2-'12-05'!AG2</f>
        <v>0</v>
      </c>
      <c r="AH2">
        <f>'01-13'!AH2-'12-05'!AH2</f>
        <v>0</v>
      </c>
      <c r="AI2">
        <f>'01-13'!AI2-'12-05'!AI2</f>
        <v>0</v>
      </c>
      <c r="AJ2">
        <f>'01-13'!AJ2-'12-05'!AJ2</f>
        <v>0</v>
      </c>
      <c r="AK2">
        <f>'01-13'!AK2-'12-05'!AK2</f>
        <v>0</v>
      </c>
      <c r="AL2">
        <f>'01-13'!AL2-'12-05'!AL2</f>
        <v>0</v>
      </c>
      <c r="AM2">
        <f>'01-13'!AM2-'12-05'!AM2</f>
        <v>0</v>
      </c>
      <c r="AN2">
        <f>'01-13'!AN2-'12-05'!AN2</f>
        <v>0</v>
      </c>
      <c r="AO2">
        <f>'01-13'!AO2-'12-05'!AO2</f>
        <v>0</v>
      </c>
      <c r="AP2">
        <f>'01-13'!AP2-'12-05'!AP2</f>
        <v>0</v>
      </c>
      <c r="AQ2">
        <f>'01-13'!AQ2-'12-05'!AQ2</f>
        <v>0</v>
      </c>
      <c r="AR2">
        <f>'01-13'!AR2-'12-05'!AR2</f>
        <v>0</v>
      </c>
      <c r="AS2">
        <f>'01-13'!AS2-'12-05'!AS2</f>
        <v>0</v>
      </c>
      <c r="AT2">
        <f>'01-13'!AT2-'12-05'!AT2</f>
        <v>0</v>
      </c>
      <c r="AU2">
        <f>'01-13'!AU2-'12-05'!AU2</f>
        <v>0</v>
      </c>
      <c r="AV2">
        <f>'01-13'!AV2-'12-05'!AV2</f>
        <v>0</v>
      </c>
      <c r="AW2">
        <f>'01-13'!AW2-'12-05'!AW2</f>
        <v>0</v>
      </c>
      <c r="AX2">
        <f>'01-13'!AX2-'12-05'!AX2</f>
        <v>0</v>
      </c>
      <c r="AY2">
        <f>'01-13'!AY2-'12-05'!AY2</f>
        <v>0</v>
      </c>
      <c r="AZ2">
        <f>'01-13'!AZ2-'12-05'!AZ2</f>
        <v>0</v>
      </c>
    </row>
    <row r="3" spans="1:52" x14ac:dyDescent="0.35">
      <c r="A3" t="s">
        <v>54</v>
      </c>
      <c r="B3" t="s">
        <v>52</v>
      </c>
      <c r="C3">
        <v>-1</v>
      </c>
      <c r="D3">
        <f>'01-13'!D3-'12-05'!D3</f>
        <v>0</v>
      </c>
      <c r="E3">
        <f>'01-13'!E3-'12-05'!E3</f>
        <v>0</v>
      </c>
      <c r="F3">
        <f>'01-13'!F3-'12-05'!F3</f>
        <v>0</v>
      </c>
      <c r="G3">
        <f>'01-13'!G3-'12-05'!G3</f>
        <v>0</v>
      </c>
      <c r="H3">
        <f>'01-13'!H3-'12-05'!H3</f>
        <v>0</v>
      </c>
      <c r="I3">
        <f>'01-13'!I3-'12-05'!I3</f>
        <v>0</v>
      </c>
      <c r="J3">
        <f>'01-13'!J3-'12-05'!J3</f>
        <v>0</v>
      </c>
      <c r="K3">
        <f>'01-13'!K3-'12-05'!K3</f>
        <v>0</v>
      </c>
      <c r="L3">
        <f>'01-13'!L3-'12-05'!L3</f>
        <v>0</v>
      </c>
      <c r="M3">
        <f>'01-13'!M3-'12-05'!M3</f>
        <v>0</v>
      </c>
      <c r="N3">
        <f>'01-13'!N3-'12-05'!N3</f>
        <v>0</v>
      </c>
      <c r="O3">
        <f>'01-13'!O3-'12-05'!O3</f>
        <v>0</v>
      </c>
      <c r="P3">
        <f>'01-13'!P3-'12-05'!P3</f>
        <v>0</v>
      </c>
      <c r="Q3">
        <f>'01-13'!Q3-'12-05'!Q3</f>
        <v>0</v>
      </c>
      <c r="R3">
        <f>'01-13'!R3-'12-05'!R3</f>
        <v>0</v>
      </c>
      <c r="S3">
        <f>'01-13'!S3-'12-05'!S3</f>
        <v>0</v>
      </c>
      <c r="T3">
        <f>'01-13'!T3-'12-05'!T3</f>
        <v>0</v>
      </c>
      <c r="U3">
        <f>'01-13'!U3-'12-05'!U3</f>
        <v>0</v>
      </c>
      <c r="V3">
        <f>'01-13'!V3-'12-05'!V3</f>
        <v>0</v>
      </c>
      <c r="W3">
        <f>'01-13'!W3-'12-05'!W3</f>
        <v>0</v>
      </c>
      <c r="X3">
        <f>'01-13'!X3-'12-05'!X3</f>
        <v>0</v>
      </c>
      <c r="Y3">
        <f>'01-13'!Y3-'12-05'!Y3</f>
        <v>0</v>
      </c>
      <c r="Z3">
        <f>'01-13'!Z3-'12-05'!Z3</f>
        <v>0</v>
      </c>
      <c r="AA3">
        <f>'01-13'!AA3-'12-05'!AA3</f>
        <v>0</v>
      </c>
      <c r="AB3">
        <f>'01-13'!AB3-'12-05'!AB3</f>
        <v>0</v>
      </c>
      <c r="AC3">
        <f>'01-13'!AC3-'12-05'!AC3</f>
        <v>0</v>
      </c>
      <c r="AD3">
        <f>'01-13'!AD3-'12-05'!AD3</f>
        <v>0</v>
      </c>
      <c r="AE3">
        <f>'01-13'!AE3-'12-05'!AE3</f>
        <v>0</v>
      </c>
      <c r="AF3">
        <f>'01-13'!AF3-'12-05'!AF3</f>
        <v>0</v>
      </c>
      <c r="AG3">
        <f>'01-13'!AG3-'12-05'!AG3</f>
        <v>0</v>
      </c>
      <c r="AH3">
        <f>'01-13'!AH3-'12-05'!AH3</f>
        <v>0</v>
      </c>
      <c r="AI3">
        <f>'01-13'!AI3-'12-05'!AI3</f>
        <v>0</v>
      </c>
      <c r="AJ3">
        <f>'01-13'!AJ3-'12-05'!AJ3</f>
        <v>0</v>
      </c>
      <c r="AK3">
        <f>'01-13'!AK3-'12-05'!AK3</f>
        <v>0</v>
      </c>
      <c r="AL3">
        <f>'01-13'!AL3-'12-05'!AL3</f>
        <v>0</v>
      </c>
      <c r="AM3">
        <f>'01-13'!AM3-'12-05'!AM3</f>
        <v>0</v>
      </c>
      <c r="AN3">
        <f>'01-13'!AN3-'12-05'!AN3</f>
        <v>0</v>
      </c>
      <c r="AO3">
        <f>'01-13'!AO3-'12-05'!AO3</f>
        <v>0</v>
      </c>
      <c r="AP3">
        <f>'01-13'!AP3-'12-05'!AP3</f>
        <v>0</v>
      </c>
      <c r="AQ3">
        <f>'01-13'!AQ3-'12-05'!AQ3</f>
        <v>0</v>
      </c>
      <c r="AR3">
        <f>'01-13'!AR3-'12-05'!AR3</f>
        <v>0</v>
      </c>
      <c r="AS3">
        <f>'01-13'!AS3-'12-05'!AS3</f>
        <v>0</v>
      </c>
      <c r="AT3">
        <f>'01-13'!AT3-'12-05'!AT3</f>
        <v>0</v>
      </c>
      <c r="AU3">
        <f>'01-13'!AU3-'12-05'!AU3</f>
        <v>0</v>
      </c>
      <c r="AV3">
        <f>'01-13'!AV3-'12-05'!AV3</f>
        <v>0</v>
      </c>
      <c r="AW3">
        <f>'01-13'!AW3-'12-05'!AW3</f>
        <v>0</v>
      </c>
      <c r="AX3">
        <f>'01-13'!AX3-'12-05'!AX3</f>
        <v>0</v>
      </c>
      <c r="AY3">
        <f>'01-13'!AY3-'12-05'!AY3</f>
        <v>0</v>
      </c>
      <c r="AZ3">
        <f>'01-13'!AZ3-'12-05'!AZ3</f>
        <v>0</v>
      </c>
    </row>
    <row r="4" spans="1:52" x14ac:dyDescent="0.35">
      <c r="A4" t="s">
        <v>55</v>
      </c>
      <c r="B4" t="s">
        <v>52</v>
      </c>
      <c r="C4">
        <v>-1</v>
      </c>
      <c r="D4">
        <f>'01-13'!D4-'12-05'!D4</f>
        <v>0</v>
      </c>
      <c r="E4">
        <f>'01-13'!E4-'12-05'!E4</f>
        <v>0</v>
      </c>
      <c r="F4">
        <f>'01-13'!F4-'12-05'!F4</f>
        <v>0</v>
      </c>
      <c r="G4">
        <f>'01-13'!G4-'12-05'!G4</f>
        <v>0</v>
      </c>
      <c r="H4">
        <f>'01-13'!H4-'12-05'!H4</f>
        <v>0</v>
      </c>
      <c r="I4">
        <f>'01-13'!I4-'12-05'!I4</f>
        <v>0</v>
      </c>
      <c r="J4">
        <f>'01-13'!J4-'12-05'!J4</f>
        <v>0</v>
      </c>
      <c r="K4">
        <f>'01-13'!K4-'12-05'!K4</f>
        <v>0</v>
      </c>
      <c r="L4">
        <f>'01-13'!L4-'12-05'!L4</f>
        <v>0</v>
      </c>
      <c r="M4">
        <f>'01-13'!M4-'12-05'!M4</f>
        <v>0</v>
      </c>
      <c r="N4">
        <f>'01-13'!N4-'12-05'!N4</f>
        <v>0</v>
      </c>
      <c r="O4">
        <f>'01-13'!O4-'12-05'!O4</f>
        <v>0</v>
      </c>
      <c r="P4">
        <f>'01-13'!P4-'12-05'!P4</f>
        <v>0</v>
      </c>
      <c r="Q4">
        <f>'01-13'!Q4-'12-05'!Q4</f>
        <v>0</v>
      </c>
      <c r="R4">
        <f>'01-13'!R4-'12-05'!R4</f>
        <v>0</v>
      </c>
      <c r="S4">
        <f>'01-13'!S4-'12-05'!S4</f>
        <v>0</v>
      </c>
      <c r="T4">
        <f>'01-13'!T4-'12-05'!T4</f>
        <v>0</v>
      </c>
      <c r="U4">
        <f>'01-13'!U4-'12-05'!U4</f>
        <v>0</v>
      </c>
      <c r="V4">
        <f>'01-13'!V4-'12-05'!V4</f>
        <v>0</v>
      </c>
      <c r="W4">
        <f>'01-13'!W4-'12-05'!W4</f>
        <v>0</v>
      </c>
      <c r="X4">
        <f>'01-13'!X4-'12-05'!X4</f>
        <v>0</v>
      </c>
      <c r="Y4">
        <f>'01-13'!Y4-'12-05'!Y4</f>
        <v>0</v>
      </c>
      <c r="Z4">
        <f>'01-13'!Z4-'12-05'!Z4</f>
        <v>0</v>
      </c>
      <c r="AA4">
        <f>'01-13'!AA4-'12-05'!AA4</f>
        <v>0</v>
      </c>
      <c r="AB4">
        <f>'01-13'!AB4-'12-05'!AB4</f>
        <v>0</v>
      </c>
      <c r="AC4">
        <f>'01-13'!AC4-'12-05'!AC4</f>
        <v>0</v>
      </c>
      <c r="AD4">
        <f>'01-13'!AD4-'12-05'!AD4</f>
        <v>0</v>
      </c>
      <c r="AE4">
        <f>'01-13'!AE4-'12-05'!AE4</f>
        <v>0</v>
      </c>
      <c r="AF4">
        <f>'01-13'!AF4-'12-05'!AF4</f>
        <v>0</v>
      </c>
      <c r="AG4">
        <f>'01-13'!AG4-'12-05'!AG4</f>
        <v>0</v>
      </c>
      <c r="AH4">
        <f>'01-13'!AH4-'12-05'!AH4</f>
        <v>0</v>
      </c>
      <c r="AI4">
        <f>'01-13'!AI4-'12-05'!AI4</f>
        <v>0</v>
      </c>
      <c r="AJ4">
        <f>'01-13'!AJ4-'12-05'!AJ4</f>
        <v>0</v>
      </c>
      <c r="AK4">
        <f>'01-13'!AK4-'12-05'!AK4</f>
        <v>0</v>
      </c>
      <c r="AL4">
        <f>'01-13'!AL4-'12-05'!AL4</f>
        <v>0</v>
      </c>
      <c r="AM4">
        <f>'01-13'!AM4-'12-05'!AM4</f>
        <v>0</v>
      </c>
      <c r="AN4">
        <f>'01-13'!AN4-'12-05'!AN4</f>
        <v>0</v>
      </c>
      <c r="AO4">
        <f>'01-13'!AO4-'12-05'!AO4</f>
        <v>0</v>
      </c>
      <c r="AP4">
        <f>'01-13'!AP4-'12-05'!AP4</f>
        <v>0</v>
      </c>
      <c r="AQ4">
        <f>'01-13'!AQ4-'12-05'!AQ4</f>
        <v>0</v>
      </c>
      <c r="AR4">
        <f>'01-13'!AR4-'12-05'!AR4</f>
        <v>0</v>
      </c>
      <c r="AS4">
        <f>'01-13'!AS4-'12-05'!AS4</f>
        <v>0</v>
      </c>
      <c r="AT4">
        <f>'01-13'!AT4-'12-05'!AT4</f>
        <v>0</v>
      </c>
      <c r="AU4">
        <f>'01-13'!AU4-'12-05'!AU4</f>
        <v>0</v>
      </c>
      <c r="AV4">
        <f>'01-13'!AV4-'12-05'!AV4</f>
        <v>0</v>
      </c>
      <c r="AW4">
        <f>'01-13'!AW4-'12-05'!AW4</f>
        <v>0</v>
      </c>
      <c r="AX4">
        <f>'01-13'!AX4-'12-05'!AX4</f>
        <v>0</v>
      </c>
      <c r="AY4">
        <f>'01-13'!AY4-'12-05'!AY4</f>
        <v>0</v>
      </c>
      <c r="AZ4">
        <f>'01-13'!AZ4-'12-05'!AZ4</f>
        <v>0</v>
      </c>
    </row>
    <row r="5" spans="1:52" x14ac:dyDescent="0.35">
      <c r="A5" t="s">
        <v>56</v>
      </c>
      <c r="B5" t="s">
        <v>52</v>
      </c>
      <c r="C5">
        <v>-1</v>
      </c>
      <c r="D5">
        <f>'01-13'!D5-'12-05'!D5</f>
        <v>0</v>
      </c>
      <c r="E5">
        <f>'01-13'!E5-'12-05'!E5</f>
        <v>0</v>
      </c>
      <c r="F5">
        <f>'01-13'!F5-'12-05'!F5</f>
        <v>0</v>
      </c>
      <c r="G5">
        <f>'01-13'!G5-'12-05'!G5</f>
        <v>0</v>
      </c>
      <c r="H5">
        <f>'01-13'!H5-'12-05'!H5</f>
        <v>0</v>
      </c>
      <c r="I5">
        <f>'01-13'!I5-'12-05'!I5</f>
        <v>0</v>
      </c>
      <c r="J5">
        <f>'01-13'!J5-'12-05'!J5</f>
        <v>0</v>
      </c>
      <c r="K5">
        <f>'01-13'!K5-'12-05'!K5</f>
        <v>0</v>
      </c>
      <c r="L5">
        <f>'01-13'!L5-'12-05'!L5</f>
        <v>0</v>
      </c>
      <c r="M5">
        <f>'01-13'!M5-'12-05'!M5</f>
        <v>0</v>
      </c>
      <c r="N5">
        <f>'01-13'!N5-'12-05'!N5</f>
        <v>0</v>
      </c>
      <c r="O5">
        <f>'01-13'!O5-'12-05'!O5</f>
        <v>0</v>
      </c>
      <c r="P5">
        <f>'01-13'!P5-'12-05'!P5</f>
        <v>0</v>
      </c>
      <c r="Q5">
        <f>'01-13'!Q5-'12-05'!Q5</f>
        <v>0</v>
      </c>
      <c r="R5">
        <f>'01-13'!R5-'12-05'!R5</f>
        <v>0</v>
      </c>
      <c r="S5">
        <f>'01-13'!S5-'12-05'!S5</f>
        <v>0</v>
      </c>
      <c r="T5">
        <f>'01-13'!T5-'12-05'!T5</f>
        <v>0</v>
      </c>
      <c r="U5">
        <f>'01-13'!U5-'12-05'!U5</f>
        <v>0</v>
      </c>
      <c r="V5">
        <f>'01-13'!V5-'12-05'!V5</f>
        <v>0</v>
      </c>
      <c r="W5">
        <f>'01-13'!W5-'12-05'!W5</f>
        <v>0</v>
      </c>
      <c r="X5">
        <f>'01-13'!X5-'12-05'!X5</f>
        <v>0</v>
      </c>
      <c r="Y5">
        <f>'01-13'!Y5-'12-05'!Y5</f>
        <v>0</v>
      </c>
      <c r="Z5">
        <f>'01-13'!Z5-'12-05'!Z5</f>
        <v>0</v>
      </c>
      <c r="AA5">
        <f>'01-13'!AA5-'12-05'!AA5</f>
        <v>0</v>
      </c>
      <c r="AB5">
        <f>'01-13'!AB5-'12-05'!AB5</f>
        <v>0</v>
      </c>
      <c r="AC5">
        <f>'01-13'!AC5-'12-05'!AC5</f>
        <v>0</v>
      </c>
      <c r="AD5">
        <f>'01-13'!AD5-'12-05'!AD5</f>
        <v>0</v>
      </c>
      <c r="AE5">
        <f>'01-13'!AE5-'12-05'!AE5</f>
        <v>0</v>
      </c>
      <c r="AF5">
        <f>'01-13'!AF5-'12-05'!AF5</f>
        <v>0</v>
      </c>
      <c r="AG5">
        <f>'01-13'!AG5-'12-05'!AG5</f>
        <v>0</v>
      </c>
      <c r="AH5">
        <f>'01-13'!AH5-'12-05'!AH5</f>
        <v>0</v>
      </c>
      <c r="AI5">
        <f>'01-13'!AI5-'12-05'!AI5</f>
        <v>0</v>
      </c>
      <c r="AJ5">
        <f>'01-13'!AJ5-'12-05'!AJ5</f>
        <v>0</v>
      </c>
      <c r="AK5">
        <f>'01-13'!AK5-'12-05'!AK5</f>
        <v>0</v>
      </c>
      <c r="AL5">
        <f>'01-13'!AL5-'12-05'!AL5</f>
        <v>0</v>
      </c>
      <c r="AM5">
        <f>'01-13'!AM5-'12-05'!AM5</f>
        <v>0</v>
      </c>
      <c r="AN5">
        <f>'01-13'!AN5-'12-05'!AN5</f>
        <v>0</v>
      </c>
      <c r="AO5">
        <f>'01-13'!AO5-'12-05'!AO5</f>
        <v>0</v>
      </c>
      <c r="AP5">
        <f>'01-13'!AP5-'12-05'!AP5</f>
        <v>0</v>
      </c>
      <c r="AQ5">
        <f>'01-13'!AQ5-'12-05'!AQ5</f>
        <v>0</v>
      </c>
      <c r="AR5">
        <f>'01-13'!AR5-'12-05'!AR5</f>
        <v>0</v>
      </c>
      <c r="AS5">
        <f>'01-13'!AS5-'12-05'!AS5</f>
        <v>0</v>
      </c>
      <c r="AT5">
        <f>'01-13'!AT5-'12-05'!AT5</f>
        <v>0</v>
      </c>
      <c r="AU5">
        <f>'01-13'!AU5-'12-05'!AU5</f>
        <v>0</v>
      </c>
      <c r="AV5">
        <f>'01-13'!AV5-'12-05'!AV5</f>
        <v>0</v>
      </c>
      <c r="AW5">
        <f>'01-13'!AW5-'12-05'!AW5</f>
        <v>0</v>
      </c>
      <c r="AX5">
        <f>'01-13'!AX5-'12-05'!AX5</f>
        <v>0</v>
      </c>
      <c r="AY5">
        <f>'01-13'!AY5-'12-05'!AY5</f>
        <v>0</v>
      </c>
      <c r="AZ5">
        <f>'01-13'!AZ5-'12-05'!AZ5</f>
        <v>0</v>
      </c>
    </row>
    <row r="6" spans="1:52" x14ac:dyDescent="0.35">
      <c r="A6" t="s">
        <v>57</v>
      </c>
      <c r="B6" t="s">
        <v>52</v>
      </c>
      <c r="C6">
        <v>-1</v>
      </c>
      <c r="D6">
        <f>'01-13'!D6-'12-05'!D6</f>
        <v>0</v>
      </c>
      <c r="E6">
        <f>'01-13'!E6-'12-05'!E6</f>
        <v>0</v>
      </c>
      <c r="F6">
        <f>'01-13'!F6-'12-05'!F6</f>
        <v>0</v>
      </c>
      <c r="G6">
        <f>'01-13'!G6-'12-05'!G6</f>
        <v>0</v>
      </c>
      <c r="H6">
        <f>'01-13'!H6-'12-05'!H6</f>
        <v>0</v>
      </c>
      <c r="I6">
        <f>'01-13'!I6-'12-05'!I6</f>
        <v>0</v>
      </c>
      <c r="J6">
        <f>'01-13'!J6-'12-05'!J6</f>
        <v>0</v>
      </c>
      <c r="K6">
        <f>'01-13'!K6-'12-05'!K6</f>
        <v>0</v>
      </c>
      <c r="L6">
        <f>'01-13'!L6-'12-05'!L6</f>
        <v>0</v>
      </c>
      <c r="M6">
        <f>'01-13'!M6-'12-05'!M6</f>
        <v>0</v>
      </c>
      <c r="N6">
        <f>'01-13'!N6-'12-05'!N6</f>
        <v>0</v>
      </c>
      <c r="O6">
        <f>'01-13'!O6-'12-05'!O6</f>
        <v>0</v>
      </c>
      <c r="P6">
        <f>'01-13'!P6-'12-05'!P6</f>
        <v>0</v>
      </c>
      <c r="Q6">
        <f>'01-13'!Q6-'12-05'!Q6</f>
        <v>0</v>
      </c>
      <c r="R6">
        <f>'01-13'!R6-'12-05'!R6</f>
        <v>0</v>
      </c>
      <c r="S6">
        <f>'01-13'!S6-'12-05'!S6</f>
        <v>0</v>
      </c>
      <c r="T6">
        <f>'01-13'!T6-'12-05'!T6</f>
        <v>0</v>
      </c>
      <c r="U6">
        <f>'01-13'!U6-'12-05'!U6</f>
        <v>0</v>
      </c>
      <c r="V6">
        <f>'01-13'!V6-'12-05'!V6</f>
        <v>0</v>
      </c>
      <c r="W6">
        <f>'01-13'!W6-'12-05'!W6</f>
        <v>0</v>
      </c>
      <c r="X6">
        <f>'01-13'!X6-'12-05'!X6</f>
        <v>0</v>
      </c>
      <c r="Y6">
        <f>'01-13'!Y6-'12-05'!Y6</f>
        <v>0</v>
      </c>
      <c r="Z6">
        <f>'01-13'!Z6-'12-05'!Z6</f>
        <v>0</v>
      </c>
      <c r="AA6">
        <f>'01-13'!AA6-'12-05'!AA6</f>
        <v>0</v>
      </c>
      <c r="AB6">
        <f>'01-13'!AB6-'12-05'!AB6</f>
        <v>0</v>
      </c>
      <c r="AC6">
        <f>'01-13'!AC6-'12-05'!AC6</f>
        <v>0</v>
      </c>
      <c r="AD6">
        <f>'01-13'!AD6-'12-05'!AD6</f>
        <v>0</v>
      </c>
      <c r="AE6">
        <f>'01-13'!AE6-'12-05'!AE6</f>
        <v>0</v>
      </c>
      <c r="AF6">
        <f>'01-13'!AF6-'12-05'!AF6</f>
        <v>0</v>
      </c>
      <c r="AG6">
        <f>'01-13'!AG6-'12-05'!AG6</f>
        <v>0</v>
      </c>
      <c r="AH6">
        <f>'01-13'!AH6-'12-05'!AH6</f>
        <v>0</v>
      </c>
      <c r="AI6">
        <f>'01-13'!AI6-'12-05'!AI6</f>
        <v>0</v>
      </c>
      <c r="AJ6">
        <f>'01-13'!AJ6-'12-05'!AJ6</f>
        <v>0</v>
      </c>
      <c r="AK6">
        <f>'01-13'!AK6-'12-05'!AK6</f>
        <v>0</v>
      </c>
      <c r="AL6">
        <f>'01-13'!AL6-'12-05'!AL6</f>
        <v>0</v>
      </c>
      <c r="AM6">
        <f>'01-13'!AM6-'12-05'!AM6</f>
        <v>0</v>
      </c>
      <c r="AN6">
        <f>'01-13'!AN6-'12-05'!AN6</f>
        <v>0</v>
      </c>
      <c r="AO6">
        <f>'01-13'!AO6-'12-05'!AO6</f>
        <v>0</v>
      </c>
      <c r="AP6">
        <f>'01-13'!AP6-'12-05'!AP6</f>
        <v>0</v>
      </c>
      <c r="AQ6">
        <f>'01-13'!AQ6-'12-05'!AQ6</f>
        <v>0</v>
      </c>
      <c r="AR6">
        <f>'01-13'!AR6-'12-05'!AR6</f>
        <v>0</v>
      </c>
      <c r="AS6">
        <f>'01-13'!AS6-'12-05'!AS6</f>
        <v>0</v>
      </c>
      <c r="AT6">
        <f>'01-13'!AT6-'12-05'!AT6</f>
        <v>0</v>
      </c>
      <c r="AU6">
        <f>'01-13'!AU6-'12-05'!AU6</f>
        <v>0</v>
      </c>
      <c r="AV6">
        <f>'01-13'!AV6-'12-05'!AV6</f>
        <v>0</v>
      </c>
      <c r="AW6">
        <f>'01-13'!AW6-'12-05'!AW6</f>
        <v>0</v>
      </c>
      <c r="AX6">
        <f>'01-13'!AX6-'12-05'!AX6</f>
        <v>0</v>
      </c>
      <c r="AY6">
        <f>'01-13'!AY6-'12-05'!AY6</f>
        <v>0</v>
      </c>
      <c r="AZ6">
        <f>'01-13'!AZ6-'12-05'!AZ6</f>
        <v>0</v>
      </c>
    </row>
    <row r="7" spans="1:52" x14ac:dyDescent="0.35">
      <c r="A7" t="s">
        <v>58</v>
      </c>
      <c r="B7" t="s">
        <v>52</v>
      </c>
      <c r="C7">
        <v>-1</v>
      </c>
      <c r="D7">
        <f>'01-13'!D7-'12-05'!D7</f>
        <v>0</v>
      </c>
      <c r="E7">
        <f>'01-13'!E7-'12-05'!E7</f>
        <v>0</v>
      </c>
      <c r="F7">
        <f>'01-13'!F7-'12-05'!F7</f>
        <v>0</v>
      </c>
      <c r="G7">
        <f>'01-13'!G7-'12-05'!G7</f>
        <v>0</v>
      </c>
      <c r="H7">
        <f>'01-13'!H7-'12-05'!H7</f>
        <v>0</v>
      </c>
      <c r="I7">
        <f>'01-13'!I7-'12-05'!I7</f>
        <v>0</v>
      </c>
      <c r="J7">
        <f>'01-13'!J7-'12-05'!J7</f>
        <v>0</v>
      </c>
      <c r="K7">
        <f>'01-13'!K7-'12-05'!K7</f>
        <v>0</v>
      </c>
      <c r="L7">
        <f>'01-13'!L7-'12-05'!L7</f>
        <v>0</v>
      </c>
      <c r="M7">
        <f>'01-13'!M7-'12-05'!M7</f>
        <v>0</v>
      </c>
      <c r="N7">
        <f>'01-13'!N7-'12-05'!N7</f>
        <v>0</v>
      </c>
      <c r="O7">
        <f>'01-13'!O7-'12-05'!O7</f>
        <v>0</v>
      </c>
      <c r="P7">
        <f>'01-13'!P7-'12-05'!P7</f>
        <v>0</v>
      </c>
      <c r="Q7">
        <f>'01-13'!Q7-'12-05'!Q7</f>
        <v>0</v>
      </c>
      <c r="R7">
        <f>'01-13'!R7-'12-05'!R7</f>
        <v>0</v>
      </c>
      <c r="S7">
        <f>'01-13'!S7-'12-05'!S7</f>
        <v>0</v>
      </c>
      <c r="T7">
        <f>'01-13'!T7-'12-05'!T7</f>
        <v>0</v>
      </c>
      <c r="U7">
        <f>'01-13'!U7-'12-05'!U7</f>
        <v>0</v>
      </c>
      <c r="V7">
        <f>'01-13'!V7-'12-05'!V7</f>
        <v>0</v>
      </c>
      <c r="W7">
        <f>'01-13'!W7-'12-05'!W7</f>
        <v>0</v>
      </c>
      <c r="X7">
        <f>'01-13'!X7-'12-05'!X7</f>
        <v>0</v>
      </c>
      <c r="Y7">
        <f>'01-13'!Y7-'12-05'!Y7</f>
        <v>0</v>
      </c>
      <c r="Z7">
        <f>'01-13'!Z7-'12-05'!Z7</f>
        <v>0</v>
      </c>
      <c r="AA7">
        <f>'01-13'!AA7-'12-05'!AA7</f>
        <v>0</v>
      </c>
      <c r="AB7">
        <f>'01-13'!AB7-'12-05'!AB7</f>
        <v>0</v>
      </c>
      <c r="AC7">
        <f>'01-13'!AC7-'12-05'!AC7</f>
        <v>0</v>
      </c>
      <c r="AD7">
        <f>'01-13'!AD7-'12-05'!AD7</f>
        <v>0</v>
      </c>
      <c r="AE7">
        <f>'01-13'!AE7-'12-05'!AE7</f>
        <v>0</v>
      </c>
      <c r="AF7">
        <f>'01-13'!AF7-'12-05'!AF7</f>
        <v>0</v>
      </c>
      <c r="AG7">
        <f>'01-13'!AG7-'12-05'!AG7</f>
        <v>0</v>
      </c>
      <c r="AH7">
        <f>'01-13'!AH7-'12-05'!AH7</f>
        <v>0</v>
      </c>
      <c r="AI7">
        <f>'01-13'!AI7-'12-05'!AI7</f>
        <v>0</v>
      </c>
      <c r="AJ7">
        <f>'01-13'!AJ7-'12-05'!AJ7</f>
        <v>0</v>
      </c>
      <c r="AK7">
        <f>'01-13'!AK7-'12-05'!AK7</f>
        <v>0</v>
      </c>
      <c r="AL7">
        <f>'01-13'!AL7-'12-05'!AL7</f>
        <v>0</v>
      </c>
      <c r="AM7">
        <f>'01-13'!AM7-'12-05'!AM7</f>
        <v>0</v>
      </c>
      <c r="AN7">
        <f>'01-13'!AN7-'12-05'!AN7</f>
        <v>0</v>
      </c>
      <c r="AO7">
        <f>'01-13'!AO7-'12-05'!AO7</f>
        <v>0</v>
      </c>
      <c r="AP7">
        <f>'01-13'!AP7-'12-05'!AP7</f>
        <v>0</v>
      </c>
      <c r="AQ7">
        <f>'01-13'!AQ7-'12-05'!AQ7</f>
        <v>0</v>
      </c>
      <c r="AR7">
        <f>'01-13'!AR7-'12-05'!AR7</f>
        <v>0</v>
      </c>
      <c r="AS7">
        <f>'01-13'!AS7-'12-05'!AS7</f>
        <v>0</v>
      </c>
      <c r="AT7">
        <f>'01-13'!AT7-'12-05'!AT7</f>
        <v>0</v>
      </c>
      <c r="AU7">
        <f>'01-13'!AU7-'12-05'!AU7</f>
        <v>0</v>
      </c>
      <c r="AV7">
        <f>'01-13'!AV7-'12-05'!AV7</f>
        <v>0</v>
      </c>
      <c r="AW7">
        <f>'01-13'!AW7-'12-05'!AW7</f>
        <v>0</v>
      </c>
      <c r="AX7">
        <f>'01-13'!AX7-'12-05'!AX7</f>
        <v>0</v>
      </c>
      <c r="AY7">
        <f>'01-13'!AY7-'12-05'!AY7</f>
        <v>0</v>
      </c>
      <c r="AZ7">
        <f>'01-13'!AZ7-'12-05'!AZ7</f>
        <v>0</v>
      </c>
    </row>
    <row r="8" spans="1:52" x14ac:dyDescent="0.35">
      <c r="A8" t="s">
        <v>59</v>
      </c>
      <c r="B8" t="s">
        <v>52</v>
      </c>
      <c r="C8">
        <v>-1</v>
      </c>
      <c r="D8">
        <f>'01-13'!D8-'12-05'!D8</f>
        <v>0</v>
      </c>
      <c r="E8">
        <f>'01-13'!E8-'12-05'!E8</f>
        <v>0</v>
      </c>
      <c r="F8">
        <f>'01-13'!F8-'12-05'!F8</f>
        <v>0</v>
      </c>
      <c r="G8">
        <f>'01-13'!G8-'12-05'!G8</f>
        <v>0</v>
      </c>
      <c r="H8">
        <f>'01-13'!H8-'12-05'!H8</f>
        <v>0</v>
      </c>
      <c r="I8">
        <f>'01-13'!I8-'12-05'!I8</f>
        <v>0</v>
      </c>
      <c r="J8">
        <f>'01-13'!J8-'12-05'!J8</f>
        <v>0</v>
      </c>
      <c r="K8">
        <f>'01-13'!K8-'12-05'!K8</f>
        <v>0</v>
      </c>
      <c r="L8">
        <f>'01-13'!L8-'12-05'!L8</f>
        <v>0</v>
      </c>
      <c r="M8">
        <f>'01-13'!M8-'12-05'!M8</f>
        <v>0</v>
      </c>
      <c r="N8">
        <f>'01-13'!N8-'12-05'!N8</f>
        <v>0</v>
      </c>
      <c r="O8">
        <f>'01-13'!O8-'12-05'!O8</f>
        <v>0</v>
      </c>
      <c r="P8">
        <f>'01-13'!P8-'12-05'!P8</f>
        <v>0</v>
      </c>
      <c r="Q8">
        <f>'01-13'!Q8-'12-05'!Q8</f>
        <v>0</v>
      </c>
      <c r="R8">
        <f>'01-13'!R8-'12-05'!R8</f>
        <v>0</v>
      </c>
      <c r="S8">
        <f>'01-13'!S8-'12-05'!S8</f>
        <v>0</v>
      </c>
      <c r="T8">
        <f>'01-13'!T8-'12-05'!T8</f>
        <v>0</v>
      </c>
      <c r="U8">
        <f>'01-13'!U8-'12-05'!U8</f>
        <v>0</v>
      </c>
      <c r="V8">
        <f>'01-13'!V8-'12-05'!V8</f>
        <v>0</v>
      </c>
      <c r="W8">
        <f>'01-13'!W8-'12-05'!W8</f>
        <v>0</v>
      </c>
      <c r="X8">
        <f>'01-13'!X8-'12-05'!X8</f>
        <v>0</v>
      </c>
      <c r="Y8">
        <f>'01-13'!Y8-'12-05'!Y8</f>
        <v>0</v>
      </c>
      <c r="Z8">
        <f>'01-13'!Z8-'12-05'!Z8</f>
        <v>0</v>
      </c>
      <c r="AA8">
        <f>'01-13'!AA8-'12-05'!AA8</f>
        <v>0</v>
      </c>
      <c r="AB8">
        <f>'01-13'!AB8-'12-05'!AB8</f>
        <v>0</v>
      </c>
      <c r="AC8">
        <f>'01-13'!AC8-'12-05'!AC8</f>
        <v>0</v>
      </c>
      <c r="AD8">
        <f>'01-13'!AD8-'12-05'!AD8</f>
        <v>0</v>
      </c>
      <c r="AE8">
        <f>'01-13'!AE8-'12-05'!AE8</f>
        <v>0</v>
      </c>
      <c r="AF8">
        <f>'01-13'!AF8-'12-05'!AF8</f>
        <v>0</v>
      </c>
      <c r="AG8">
        <f>'01-13'!AG8-'12-05'!AG8</f>
        <v>0</v>
      </c>
      <c r="AH8">
        <f>'01-13'!AH8-'12-05'!AH8</f>
        <v>0</v>
      </c>
      <c r="AI8">
        <f>'01-13'!AI8-'12-05'!AI8</f>
        <v>0</v>
      </c>
      <c r="AJ8">
        <f>'01-13'!AJ8-'12-05'!AJ8</f>
        <v>0</v>
      </c>
      <c r="AK8">
        <f>'01-13'!AK8-'12-05'!AK8</f>
        <v>0</v>
      </c>
      <c r="AL8">
        <f>'01-13'!AL8-'12-05'!AL8</f>
        <v>0</v>
      </c>
      <c r="AM8">
        <f>'01-13'!AM8-'12-05'!AM8</f>
        <v>0</v>
      </c>
      <c r="AN8">
        <f>'01-13'!AN8-'12-05'!AN8</f>
        <v>0</v>
      </c>
      <c r="AO8">
        <f>'01-13'!AO8-'12-05'!AO8</f>
        <v>0</v>
      </c>
      <c r="AP8">
        <f>'01-13'!AP8-'12-05'!AP8</f>
        <v>0</v>
      </c>
      <c r="AQ8">
        <f>'01-13'!AQ8-'12-05'!AQ8</f>
        <v>0</v>
      </c>
      <c r="AR8">
        <f>'01-13'!AR8-'12-05'!AR8</f>
        <v>0</v>
      </c>
      <c r="AS8">
        <f>'01-13'!AS8-'12-05'!AS8</f>
        <v>0</v>
      </c>
      <c r="AT8">
        <f>'01-13'!AT8-'12-05'!AT8</f>
        <v>0</v>
      </c>
      <c r="AU8">
        <f>'01-13'!AU8-'12-05'!AU8</f>
        <v>0</v>
      </c>
      <c r="AV8">
        <f>'01-13'!AV8-'12-05'!AV8</f>
        <v>0</v>
      </c>
      <c r="AW8">
        <f>'01-13'!AW8-'12-05'!AW8</f>
        <v>0</v>
      </c>
      <c r="AX8">
        <f>'01-13'!AX8-'12-05'!AX8</f>
        <v>0</v>
      </c>
      <c r="AY8">
        <f>'01-13'!AY8-'12-05'!AY8</f>
        <v>0</v>
      </c>
      <c r="AZ8">
        <f>'01-13'!AZ8-'12-05'!AZ8</f>
        <v>0</v>
      </c>
    </row>
    <row r="9" spans="1:52" s="2" customFormat="1" x14ac:dyDescent="0.35">
      <c r="A9" s="2" t="s">
        <v>60</v>
      </c>
      <c r="B9" s="2" t="s">
        <v>52</v>
      </c>
      <c r="C9" s="2">
        <v>-1</v>
      </c>
      <c r="D9" s="2">
        <f>'01-13'!D9-'12-05'!D9</f>
        <v>0</v>
      </c>
      <c r="E9" s="2">
        <f>'01-13'!E9-'12-05'!E9</f>
        <v>0</v>
      </c>
      <c r="F9" s="2">
        <f>'01-13'!F9-'12-05'!F9</f>
        <v>0</v>
      </c>
      <c r="G9" s="2">
        <f>'01-13'!G9-'12-05'!G9</f>
        <v>0</v>
      </c>
      <c r="H9" s="2">
        <f>'01-13'!H9-'12-05'!H9</f>
        <v>0</v>
      </c>
      <c r="I9" s="2">
        <f>'01-13'!I9-'12-05'!I9</f>
        <v>0</v>
      </c>
      <c r="J9" s="2">
        <f>'01-13'!J9-'12-05'!J9</f>
        <v>0</v>
      </c>
      <c r="K9" s="2">
        <f>'01-13'!K9-'12-05'!K9</f>
        <v>0</v>
      </c>
      <c r="L9" s="2">
        <f>'01-13'!L9-'12-05'!L9</f>
        <v>0</v>
      </c>
      <c r="M9" s="2">
        <f>'01-13'!M9-'12-05'!M9</f>
        <v>0</v>
      </c>
      <c r="N9" s="2">
        <f>'01-13'!N9-'12-05'!N9</f>
        <v>0</v>
      </c>
      <c r="O9" s="2">
        <f>'01-13'!O9-'12-05'!O9</f>
        <v>0</v>
      </c>
      <c r="P9" s="2">
        <f>'01-13'!P9-'12-05'!P9</f>
        <v>0</v>
      </c>
      <c r="Q9" s="2">
        <f>'01-13'!Q9-'12-05'!Q9</f>
        <v>0</v>
      </c>
      <c r="R9" s="2">
        <f>'01-13'!R9-'12-05'!R9</f>
        <v>0</v>
      </c>
      <c r="S9" s="2">
        <f>'01-13'!S9-'12-05'!S9</f>
        <v>0</v>
      </c>
      <c r="T9" s="2">
        <f>'01-13'!T9-'12-05'!T9</f>
        <v>-10.260376137738099</v>
      </c>
      <c r="U9" s="2">
        <f>'01-13'!U9-'12-05'!U9</f>
        <v>0</v>
      </c>
      <c r="V9" s="2">
        <f>'01-13'!V9-'12-05'!V9</f>
        <v>0</v>
      </c>
      <c r="W9" s="2">
        <f>'01-13'!W9-'12-05'!W9</f>
        <v>0</v>
      </c>
      <c r="X9" s="2">
        <f>'01-13'!X9-'12-05'!X9</f>
        <v>0</v>
      </c>
      <c r="Y9" s="2">
        <f>'01-13'!Y9-'12-05'!Y9</f>
        <v>0</v>
      </c>
      <c r="Z9" s="2">
        <f>'01-13'!Z9-'12-05'!Z9</f>
        <v>0</v>
      </c>
      <c r="AA9" s="2">
        <f>'01-13'!AA9-'12-05'!AA9</f>
        <v>0</v>
      </c>
      <c r="AB9" s="2">
        <f>'01-13'!AB9-'12-05'!AB9</f>
        <v>0</v>
      </c>
      <c r="AC9" s="2">
        <f>'01-13'!AC9-'12-05'!AC9</f>
        <v>0</v>
      </c>
      <c r="AD9" s="2">
        <f>'01-13'!AD9-'12-05'!AD9</f>
        <v>0</v>
      </c>
      <c r="AE9" s="2">
        <f>'01-13'!AE9-'12-05'!AE9</f>
        <v>0</v>
      </c>
      <c r="AF9" s="2">
        <f>'01-13'!AF9-'12-05'!AF9</f>
        <v>0</v>
      </c>
      <c r="AG9" s="2">
        <f>'01-13'!AG9-'12-05'!AG9</f>
        <v>0</v>
      </c>
      <c r="AH9" s="2">
        <f>'01-13'!AH9-'12-05'!AH9</f>
        <v>0</v>
      </c>
      <c r="AI9" s="2">
        <f>'01-13'!AI9-'12-05'!AI9</f>
        <v>0</v>
      </c>
      <c r="AJ9" s="2">
        <f>'01-13'!AJ9-'12-05'!AJ9</f>
        <v>0</v>
      </c>
      <c r="AK9" s="2">
        <f>'01-13'!AK9-'12-05'!AK9</f>
        <v>0</v>
      </c>
      <c r="AL9" s="2">
        <f>'01-13'!AL9-'12-05'!AL9</f>
        <v>0</v>
      </c>
      <c r="AM9" s="2">
        <f>'01-13'!AM9-'12-05'!AM9</f>
        <v>0</v>
      </c>
      <c r="AN9" s="2">
        <f>'01-13'!AN9-'12-05'!AN9</f>
        <v>0</v>
      </c>
      <c r="AO9" s="2">
        <f>'01-13'!AO9-'12-05'!AO9</f>
        <v>0</v>
      </c>
      <c r="AP9" s="2">
        <f>'01-13'!AP9-'12-05'!AP9</f>
        <v>0</v>
      </c>
      <c r="AQ9" s="2">
        <f>'01-13'!AQ9-'12-05'!AQ9</f>
        <v>0</v>
      </c>
      <c r="AR9" s="2">
        <f>'01-13'!AR9-'12-05'!AR9</f>
        <v>0</v>
      </c>
      <c r="AS9" s="2">
        <f>'01-13'!AS9-'12-05'!AS9</f>
        <v>0</v>
      </c>
      <c r="AT9" s="2">
        <f>'01-13'!AT9-'12-05'!AT9</f>
        <v>0</v>
      </c>
      <c r="AU9" s="2">
        <f>'01-13'!AU9-'12-05'!AU9</f>
        <v>0</v>
      </c>
      <c r="AV9" s="2">
        <f>'01-13'!AV9-'12-05'!AV9</f>
        <v>0</v>
      </c>
      <c r="AW9" s="2">
        <f>'01-13'!AW9-'12-05'!AW9</f>
        <v>0</v>
      </c>
      <c r="AX9" s="2">
        <f>'01-13'!AX9-'12-05'!AX9</f>
        <v>0</v>
      </c>
      <c r="AY9" s="2">
        <f>'01-13'!AY9-'12-05'!AY9</f>
        <v>0</v>
      </c>
      <c r="AZ9" s="2">
        <f>'01-13'!AZ9-'12-05'!AZ9</f>
        <v>0</v>
      </c>
    </row>
    <row r="10" spans="1:52" x14ac:dyDescent="0.35">
      <c r="A10" t="s">
        <v>61</v>
      </c>
      <c r="B10" t="s">
        <v>52</v>
      </c>
      <c r="C10">
        <v>-1</v>
      </c>
      <c r="D10">
        <f>'01-13'!D10-'12-05'!D10</f>
        <v>0</v>
      </c>
      <c r="E10">
        <f>'01-13'!E10-'12-05'!E10</f>
        <v>0</v>
      </c>
      <c r="F10">
        <f>'01-13'!F10-'12-05'!F10</f>
        <v>0</v>
      </c>
      <c r="G10">
        <f>'01-13'!G10-'12-05'!G10</f>
        <v>0</v>
      </c>
      <c r="H10">
        <f>'01-13'!H10-'12-05'!H10</f>
        <v>0</v>
      </c>
      <c r="I10">
        <f>'01-13'!I10-'12-05'!I10</f>
        <v>0</v>
      </c>
      <c r="J10">
        <f>'01-13'!J10-'12-05'!J10</f>
        <v>0</v>
      </c>
      <c r="K10">
        <f>'01-13'!K10-'12-05'!K10</f>
        <v>0</v>
      </c>
      <c r="L10">
        <f>'01-13'!L10-'12-05'!L10</f>
        <v>9.9999999999999978E-2</v>
      </c>
      <c r="M10">
        <f>'01-13'!M10-'12-05'!M10</f>
        <v>0</v>
      </c>
      <c r="N10">
        <f>'01-13'!N10-'12-05'!N10</f>
        <v>0</v>
      </c>
      <c r="O10">
        <f>'01-13'!O10-'12-05'!O10</f>
        <v>0</v>
      </c>
      <c r="P10">
        <f>'01-13'!P10-'12-05'!P10</f>
        <v>0</v>
      </c>
      <c r="Q10">
        <f>'01-13'!Q10-'12-05'!Q10</f>
        <v>-19.100000000000364</v>
      </c>
      <c r="R10">
        <f>'01-13'!R10-'12-05'!R10</f>
        <v>0</v>
      </c>
      <c r="S10">
        <f>'01-13'!S10-'12-05'!S10</f>
        <v>0</v>
      </c>
      <c r="T10">
        <f>'01-13'!T10-'12-05'!T10</f>
        <v>-8.2758270385603936</v>
      </c>
      <c r="U10">
        <f>'01-13'!U10-'12-05'!U10</f>
        <v>0</v>
      </c>
      <c r="V10">
        <f>'01-13'!V10-'12-05'!V10</f>
        <v>0</v>
      </c>
      <c r="W10">
        <f>'01-13'!W10-'12-05'!W10</f>
        <v>0</v>
      </c>
      <c r="X10">
        <f>'01-13'!X10-'12-05'!X10</f>
        <v>0</v>
      </c>
      <c r="Y10">
        <f>'01-13'!Y10-'12-05'!Y10</f>
        <v>0</v>
      </c>
      <c r="Z10">
        <f>'01-13'!Z10-'12-05'!Z10</f>
        <v>0</v>
      </c>
      <c r="AA10">
        <f>'01-13'!AA10-'12-05'!AA10</f>
        <v>0</v>
      </c>
      <c r="AB10">
        <f>'01-13'!AB10-'12-05'!AB10</f>
        <v>0</v>
      </c>
      <c r="AC10">
        <f>'01-13'!AC10-'12-05'!AC10</f>
        <v>0</v>
      </c>
      <c r="AD10">
        <f>'01-13'!AD10-'12-05'!AD10</f>
        <v>0</v>
      </c>
      <c r="AE10">
        <f>'01-13'!AE10-'12-05'!AE10</f>
        <v>0</v>
      </c>
      <c r="AF10">
        <f>'01-13'!AF10-'12-05'!AF10</f>
        <v>0</v>
      </c>
      <c r="AG10">
        <f>'01-13'!AG10-'12-05'!AG10</f>
        <v>0</v>
      </c>
      <c r="AH10">
        <f>'01-13'!AH10-'12-05'!AH10</f>
        <v>0</v>
      </c>
      <c r="AI10">
        <f>'01-13'!AI10-'12-05'!AI10</f>
        <v>0</v>
      </c>
      <c r="AJ10">
        <f>'01-13'!AJ10-'12-05'!AJ10</f>
        <v>2.2919999999999163</v>
      </c>
      <c r="AK10">
        <f>'01-13'!AK10-'12-05'!AK10</f>
        <v>0</v>
      </c>
      <c r="AL10">
        <f>'01-13'!AL10-'12-05'!AL10</f>
        <v>0</v>
      </c>
      <c r="AM10">
        <f>'01-13'!AM10-'12-05'!AM10</f>
        <v>0</v>
      </c>
      <c r="AN10">
        <f>'01-13'!AN10-'12-05'!AN10</f>
        <v>0</v>
      </c>
      <c r="AO10">
        <f>'01-13'!AO10-'12-05'!AO10</f>
        <v>0</v>
      </c>
      <c r="AP10">
        <f>'01-13'!AP10-'12-05'!AP10</f>
        <v>0</v>
      </c>
      <c r="AQ10">
        <f>'01-13'!AQ10-'12-05'!AQ10</f>
        <v>0</v>
      </c>
      <c r="AR10">
        <f>'01-13'!AR10-'12-05'!AR10</f>
        <v>0</v>
      </c>
      <c r="AS10">
        <f>'01-13'!AS10-'12-05'!AS10</f>
        <v>0</v>
      </c>
      <c r="AT10">
        <f>'01-13'!AT10-'12-05'!AT10</f>
        <v>0</v>
      </c>
      <c r="AU10">
        <f>'01-13'!AU10-'12-05'!AU10</f>
        <v>0</v>
      </c>
      <c r="AV10">
        <f>'01-13'!AV10-'12-05'!AV10</f>
        <v>0</v>
      </c>
      <c r="AW10">
        <f>'01-13'!AW10-'12-05'!AW10</f>
        <v>0</v>
      </c>
      <c r="AX10">
        <f>'01-13'!AX10-'12-05'!AX10</f>
        <v>0</v>
      </c>
      <c r="AY10">
        <f>'01-13'!AY10-'12-05'!AY10</f>
        <v>0</v>
      </c>
      <c r="AZ10">
        <f>'01-13'!AZ10-'12-05'!AZ10</f>
        <v>0</v>
      </c>
    </row>
    <row r="11" spans="1:52" x14ac:dyDescent="0.35">
      <c r="A11" t="s">
        <v>62</v>
      </c>
      <c r="B11" t="s">
        <v>64</v>
      </c>
      <c r="C11">
        <v>0</v>
      </c>
      <c r="D11">
        <f>'01-13'!D11-'12-05'!D11</f>
        <v>3.1520219996734591E-3</v>
      </c>
      <c r="E11">
        <f>'01-13'!E11-'12-05'!E11</f>
        <v>4.818389873791881E-3</v>
      </c>
      <c r="F11">
        <f>'01-13'!F11-'12-05'!F11</f>
        <v>7.6316823851896049E-4</v>
      </c>
      <c r="G11">
        <f>'01-13'!G11-'12-05'!G11</f>
        <v>4.0400540007658808E-3</v>
      </c>
      <c r="H11">
        <f>'01-13'!H11-'12-05'!H11</f>
        <v>2.6392171480259762E-5</v>
      </c>
      <c r="I11">
        <f>'01-13'!I11-'12-05'!I11</f>
        <v>0</v>
      </c>
      <c r="J11">
        <f>'01-13'!J11-'12-05'!J11</f>
        <v>305.28667883629896</v>
      </c>
      <c r="K11">
        <f>'01-13'!K11-'12-05'!K11</f>
        <v>118.93603685650305</v>
      </c>
      <c r="L11">
        <f>'01-13'!L11-'12-05'!L11</f>
        <v>0.3</v>
      </c>
      <c r="M11">
        <f>'01-13'!M11-'12-05'!M11</f>
        <v>8.9546710629599602</v>
      </c>
      <c r="N11">
        <f>'01-13'!N11-'12-05'!N11</f>
        <v>23.377951496694038</v>
      </c>
      <c r="O11">
        <f>'01-13'!O11-'12-05'!O11</f>
        <v>0</v>
      </c>
      <c r="P11">
        <f>'01-13'!P11-'12-05'!P11</f>
        <v>23.818746722510241</v>
      </c>
      <c r="Q11">
        <f>'01-13'!Q11-'12-05'!Q11</f>
        <v>-47.9814170009804</v>
      </c>
      <c r="R11">
        <f>'01-13'!R11-'12-05'!R11</f>
        <v>13.902496041069753</v>
      </c>
      <c r="S11">
        <f>'01-13'!S11-'12-05'!S11</f>
        <v>0.17535091718390561</v>
      </c>
      <c r="T11">
        <f>'01-13'!T11-'12-05'!T11</f>
        <v>0</v>
      </c>
      <c r="U11">
        <f>'01-13'!U11-'12-05'!U11</f>
        <v>-15.977135911152004</v>
      </c>
      <c r="V11">
        <f>'01-13'!V11-'12-05'!V11</f>
        <v>-22.494419999999991</v>
      </c>
      <c r="W11">
        <f>'01-13'!W11-'12-05'!W11</f>
        <v>-16.142871865932989</v>
      </c>
      <c r="X11">
        <f>'01-13'!X11-'12-05'!X11</f>
        <v>0</v>
      </c>
      <c r="Y11">
        <f>'01-13'!Y11-'12-05'!Y11</f>
        <v>0</v>
      </c>
      <c r="Z11">
        <f>'01-13'!Z11-'12-05'!Z11</f>
        <v>0</v>
      </c>
      <c r="AA11">
        <f>'01-13'!AA11-'12-05'!AA11</f>
        <v>2.7999999999999972</v>
      </c>
      <c r="AB11">
        <f>'01-13'!AB11-'12-05'!AB11</f>
        <v>3.2990000000000066</v>
      </c>
      <c r="AC11">
        <f>'01-13'!AC11-'12-05'!AC11</f>
        <v>0</v>
      </c>
      <c r="AD11">
        <f>'01-13'!AD11-'12-05'!AD11</f>
        <v>0</v>
      </c>
      <c r="AE11">
        <f>'01-13'!AE11-'12-05'!AE11</f>
        <v>0</v>
      </c>
      <c r="AF11">
        <f>'01-13'!AF11-'12-05'!AF11</f>
        <v>0</v>
      </c>
      <c r="AG11">
        <f>'01-13'!AG11-'12-05'!AG11</f>
        <v>0.7</v>
      </c>
      <c r="AH11">
        <f>'01-13'!AH11-'12-05'!AH11</f>
        <v>6.4168708859999697</v>
      </c>
      <c r="AI11">
        <f>'01-13'!AI11-'12-05'!AI11</f>
        <v>5.5077962447169853</v>
      </c>
      <c r="AJ11">
        <f>'01-13'!AJ11-'12-05'!AJ11</f>
        <v>8.0497700401201655</v>
      </c>
      <c r="AK11">
        <f>'01-13'!AK11-'12-05'!AK11</f>
        <v>-1.6682995249300347</v>
      </c>
      <c r="AL11">
        <f>'01-13'!AL11-'12-05'!AL11</f>
        <v>-5.8450305720043616E-3</v>
      </c>
      <c r="AM11">
        <f>'01-13'!AM11-'12-05'!AM11</f>
        <v>0.53257119703840772</v>
      </c>
      <c r="AN11">
        <f>'01-13'!AN11-'12-05'!AN11</f>
        <v>-5.0612445000001571</v>
      </c>
      <c r="AO11">
        <f>'01-13'!AO11-'12-05'!AO11</f>
        <v>-3.6321461698349822</v>
      </c>
      <c r="AP11">
        <f>'01-13'!AP11-'12-05'!AP11</f>
        <v>0</v>
      </c>
      <c r="AQ11">
        <f>'01-13'!AQ11-'12-05'!AQ11</f>
        <v>0</v>
      </c>
      <c r="AR11">
        <f>'01-13'!AR11-'12-05'!AR11</f>
        <v>0</v>
      </c>
      <c r="AS11">
        <f>'01-13'!AS11-'12-05'!AS11</f>
        <v>0.56000000000000227</v>
      </c>
      <c r="AT11">
        <f>'01-13'!AT11-'12-05'!AT11</f>
        <v>0.16330049999999829</v>
      </c>
      <c r="AU11">
        <f>'01-13'!AU11-'12-05'!AU11</f>
        <v>0</v>
      </c>
      <c r="AV11">
        <f>'01-13'!AV11-'12-05'!AV11</f>
        <v>0</v>
      </c>
      <c r="AW11">
        <f>'01-13'!AW11-'12-05'!AW11</f>
        <v>0</v>
      </c>
      <c r="AX11">
        <f>'01-13'!AX11-'12-05'!AX11</f>
        <v>3.4650000000000014E-2</v>
      </c>
      <c r="AY11">
        <f>'01-13'!AY11-'12-05'!AY11</f>
        <v>1.443795949350033</v>
      </c>
      <c r="AZ11">
        <f>'01-13'!AZ11-'12-05'!AZ11</f>
        <v>1.239254155061019</v>
      </c>
    </row>
    <row r="12" spans="1:52" x14ac:dyDescent="0.35">
      <c r="A12" t="s">
        <v>63</v>
      </c>
      <c r="B12" t="s">
        <v>64</v>
      </c>
      <c r="C12">
        <v>0</v>
      </c>
      <c r="D12">
        <f>'01-13'!D12-'12-05'!D12</f>
        <v>6.9796477781850289E-4</v>
      </c>
      <c r="E12">
        <f>'01-13'!E12-'12-05'!E12</f>
        <v>2.9164375936392498E-3</v>
      </c>
      <c r="F12">
        <f>'01-13'!F12-'12-05'!F12</f>
        <v>2.9164375936392498E-3</v>
      </c>
      <c r="G12">
        <f>'01-13'!G12-'12-05'!G12</f>
        <v>2.9164375936392498E-3</v>
      </c>
      <c r="H12">
        <f>'01-13'!H12-'12-05'!H12</f>
        <v>4.9010445290974952E-4</v>
      </c>
      <c r="I12">
        <f>'01-13'!I12-'12-05'!I12</f>
        <v>0</v>
      </c>
      <c r="J12">
        <f>'01-13'!J12-'12-05'!J12</f>
        <v>308.21221687010257</v>
      </c>
      <c r="K12">
        <f>'01-13'!K12-'12-05'!K12</f>
        <v>120.06282213190207</v>
      </c>
      <c r="L12">
        <f>'01-13'!L12-'12-05'!L12</f>
        <v>0.29999999999999993</v>
      </c>
      <c r="M12">
        <f>'01-13'!M12-'12-05'!M12</f>
        <v>9.1019655057200453</v>
      </c>
      <c r="N12">
        <f>'01-13'!N12-'12-05'!N12</f>
        <v>23.608303957073986</v>
      </c>
      <c r="O12">
        <f>'01-13'!O12-'12-05'!O12</f>
        <v>0</v>
      </c>
      <c r="P12">
        <f>'01-13'!P12-'12-05'!P12</f>
        <v>24.042506935609708</v>
      </c>
      <c r="Q12">
        <f>'01-13'!Q12-'12-05'!Q12</f>
        <v>-48.147581276050005</v>
      </c>
      <c r="R12">
        <f>'01-13'!R12-'12-05'!R12</f>
        <v>3.0850229136704002</v>
      </c>
      <c r="S12">
        <f>'01-13'!S12-'12-05'!S12</f>
        <v>0</v>
      </c>
      <c r="T12">
        <f>'01-13'!T12-'12-05'!T12</f>
        <v>0</v>
      </c>
      <c r="U12">
        <f>'01-13'!U12-'12-05'!U12</f>
        <v>-21.652044021633003</v>
      </c>
      <c r="V12">
        <f>'01-13'!V12-'12-05'!V12</f>
        <v>-5.5113083999999617</v>
      </c>
      <c r="W12">
        <f>'01-13'!W12-'12-05'!W12</f>
        <v>0</v>
      </c>
      <c r="X12">
        <f>'01-13'!X12-'12-05'!X12</f>
        <v>0</v>
      </c>
      <c r="Y12">
        <f>'01-13'!Y12-'12-05'!Y12</f>
        <v>0</v>
      </c>
      <c r="Z12">
        <f>'01-13'!Z12-'12-05'!Z12</f>
        <v>0</v>
      </c>
      <c r="AA12">
        <f>'01-13'!AA12-'12-05'!AA12</f>
        <v>0</v>
      </c>
      <c r="AB12">
        <f>'01-13'!AB12-'12-05'!AB12</f>
        <v>4.1999999999999886</v>
      </c>
      <c r="AC12">
        <f>'01-13'!AC12-'12-05'!AC12</f>
        <v>0</v>
      </c>
      <c r="AD12">
        <f>'01-13'!AD12-'12-05'!AD12</f>
        <v>0</v>
      </c>
      <c r="AE12">
        <f>'01-13'!AE12-'12-05'!AE12</f>
        <v>0</v>
      </c>
      <c r="AF12">
        <f>'01-13'!AF12-'12-05'!AF12</f>
        <v>0</v>
      </c>
      <c r="AG12">
        <f>'01-13'!AG12-'12-05'!AG12</f>
        <v>0</v>
      </c>
      <c r="AH12">
        <f>'01-13'!AH12-'12-05'!AH12</f>
        <v>8.5729435360501611</v>
      </c>
      <c r="AI12">
        <f>'01-13'!AI12-'12-05'!AI12</f>
        <v>3.7628190638610022</v>
      </c>
      <c r="AJ12">
        <f>'01-13'!AJ12-'12-05'!AJ12</f>
        <v>12.681479793249764</v>
      </c>
      <c r="AK12">
        <f>'01-13'!AK12-'12-05'!AK12</f>
        <v>-2.0385022745699644</v>
      </c>
      <c r="AL12">
        <f>'01-13'!AL12-'12-05'!AL12</f>
        <v>-5.8450305729991214E-3</v>
      </c>
      <c r="AM12">
        <f>'01-13'!AM12-'12-05'!AM12</f>
        <v>1.2543059977595021</v>
      </c>
      <c r="AN12">
        <f>'01-13'!AN12-'12-05'!AN12</f>
        <v>-6.3012888900002508</v>
      </c>
      <c r="AO12">
        <f>'01-13'!AO12-'12-05'!AO12</f>
        <v>-3.6321461698350106</v>
      </c>
      <c r="AP12">
        <f>'01-13'!AP12-'12-05'!AP12</f>
        <v>0</v>
      </c>
      <c r="AQ12">
        <f>'01-13'!AQ12-'12-05'!AQ12</f>
        <v>0</v>
      </c>
      <c r="AR12">
        <f>'01-13'!AR12-'12-05'!AR12</f>
        <v>0</v>
      </c>
      <c r="AS12">
        <f>'01-13'!AS12-'12-05'!AS12</f>
        <v>0.47599999999999909</v>
      </c>
      <c r="AT12">
        <f>'01-13'!AT12-'12-05'!AT12</f>
        <v>0.34893225000000427</v>
      </c>
      <c r="AU12">
        <f>'01-13'!AU12-'12-05'!AU12</f>
        <v>0</v>
      </c>
      <c r="AV12">
        <f>'01-13'!AV12-'12-05'!AV12</f>
        <v>0</v>
      </c>
      <c r="AW12">
        <f>'01-13'!AW12-'12-05'!AW12</f>
        <v>0</v>
      </c>
      <c r="AX12">
        <f>'01-13'!AX12-'12-05'!AX12</f>
        <v>2.9924999999999979E-2</v>
      </c>
      <c r="AY12">
        <f>'01-13'!AY12-'12-05'!AY12</f>
        <v>3.3727082449599948</v>
      </c>
      <c r="AZ12">
        <f>'01-13'!AZ12-'12-05'!AZ12</f>
        <v>2.0858884444299974</v>
      </c>
    </row>
    <row r="13" spans="1:52" x14ac:dyDescent="0.35">
      <c r="A13" t="s">
        <v>65</v>
      </c>
      <c r="B13" t="s">
        <v>64</v>
      </c>
      <c r="C13">
        <v>0</v>
      </c>
      <c r="D13">
        <f>'01-13'!D13-'12-05'!D13</f>
        <v>1.5706076996071013E-3</v>
      </c>
      <c r="E13">
        <f>'01-13'!E13-'12-05'!E13</f>
        <v>1.4605636253035605E-3</v>
      </c>
      <c r="F13">
        <f>'01-13'!F13-'12-05'!F13</f>
        <v>1.4605636253035605E-3</v>
      </c>
      <c r="G13">
        <f>'01-13'!G13-'12-05'!G13</f>
        <v>1.4605636253035605E-3</v>
      </c>
      <c r="H13">
        <f>'01-13'!H13-'12-05'!H13</f>
        <v>2.4577807282643964E-4</v>
      </c>
      <c r="I13">
        <f>'01-13'!I13-'12-05'!I13</f>
        <v>0</v>
      </c>
      <c r="J13">
        <f>'01-13'!J13-'12-05'!J13</f>
        <v>311.23454112119725</v>
      </c>
      <c r="K13">
        <f>'01-13'!K13-'12-05'!K13</f>
        <v>121.09033619830007</v>
      </c>
      <c r="L13">
        <f>'01-13'!L13-'12-05'!L13</f>
        <v>0.29999999999999982</v>
      </c>
      <c r="M13">
        <f>'01-13'!M13-'12-05'!M13</f>
        <v>9.4009700623901153</v>
      </c>
      <c r="N13">
        <f>'01-13'!N13-'12-05'!N13</f>
        <v>23.84092617389399</v>
      </c>
      <c r="O13">
        <f>'01-13'!O13-'12-05'!O13</f>
        <v>0</v>
      </c>
      <c r="P13">
        <f>'01-13'!P13-'12-05'!P13</f>
        <v>24.272634477879819</v>
      </c>
      <c r="Q13">
        <f>'01-13'!Q13-'12-05'!Q13</f>
        <v>-32.675003924130579</v>
      </c>
      <c r="R13">
        <f>'01-13'!R13-'12-05'!R13</f>
        <v>3.1356160067803103</v>
      </c>
      <c r="S13">
        <f>'01-13'!S13-'12-05'!S13</f>
        <v>0</v>
      </c>
      <c r="T13">
        <f>'01-13'!T13-'12-05'!T13</f>
        <v>0</v>
      </c>
      <c r="U13">
        <f>'01-13'!U13-'12-05'!U13</f>
        <v>-21.67823781364001</v>
      </c>
      <c r="V13">
        <f>'01-13'!V13-'12-05'!V13</f>
        <v>-5.5939105679999557</v>
      </c>
      <c r="W13">
        <f>'01-13'!W13-'12-05'!W13</f>
        <v>0</v>
      </c>
      <c r="X13">
        <f>'01-13'!X13-'12-05'!X13</f>
        <v>0</v>
      </c>
      <c r="Y13">
        <f>'01-13'!Y13-'12-05'!Y13</f>
        <v>0</v>
      </c>
      <c r="Z13">
        <f>'01-13'!Z13-'12-05'!Z13</f>
        <v>0</v>
      </c>
      <c r="AA13">
        <f>'01-13'!AA13-'12-05'!AA13</f>
        <v>0</v>
      </c>
      <c r="AB13">
        <f>'01-13'!AB13-'12-05'!AB13</f>
        <v>4.1999999999999886</v>
      </c>
      <c r="AC13">
        <f>'01-13'!AC13-'12-05'!AC13</f>
        <v>0</v>
      </c>
      <c r="AD13">
        <f>'01-13'!AD13-'12-05'!AD13</f>
        <v>0</v>
      </c>
      <c r="AE13">
        <f>'01-13'!AE13-'12-05'!AE13</f>
        <v>0</v>
      </c>
      <c r="AF13">
        <f>'01-13'!AF13-'12-05'!AF13</f>
        <v>0</v>
      </c>
      <c r="AG13">
        <f>'01-13'!AG13-'12-05'!AG13</f>
        <v>0</v>
      </c>
      <c r="AH13">
        <f>'01-13'!AH13-'12-05'!AH13</f>
        <v>8.70692568139998</v>
      </c>
      <c r="AI13">
        <f>'01-13'!AI13-'12-05'!AI13</f>
        <v>4.0488769864260234</v>
      </c>
      <c r="AJ13">
        <f>'01-13'!AJ13-'12-05'!AJ13</f>
        <v>13.72359524409012</v>
      </c>
      <c r="AK13">
        <f>'01-13'!AK13-'12-05'!AK13</f>
        <v>-1.5806264329200985</v>
      </c>
      <c r="AL13">
        <f>'01-13'!AL13-'12-05'!AL13</f>
        <v>-5.8450305729991214E-3</v>
      </c>
      <c r="AM13">
        <f>'01-13'!AM13-'12-05'!AM13</f>
        <v>1.9769139248808045</v>
      </c>
      <c r="AN13">
        <f>'01-13'!AN13-'12-05'!AN13</f>
        <v>-7.5599187677998998</v>
      </c>
      <c r="AO13">
        <f>'01-13'!AO13-'12-05'!AO13</f>
        <v>-3.6321461698350106</v>
      </c>
      <c r="AP13">
        <f>'01-13'!AP13-'12-05'!AP13</f>
        <v>0</v>
      </c>
      <c r="AQ13">
        <f>'01-13'!AQ13-'12-05'!AQ13</f>
        <v>0</v>
      </c>
      <c r="AR13">
        <f>'01-13'!AR13-'12-05'!AR13</f>
        <v>0</v>
      </c>
      <c r="AS13">
        <f>'01-13'!AS13-'12-05'!AS13</f>
        <v>0.4480000000000004</v>
      </c>
      <c r="AT13">
        <f>'01-13'!AT13-'12-05'!AT13</f>
        <v>0.52105949999999979</v>
      </c>
      <c r="AU13">
        <f>'01-13'!AU13-'12-05'!AU13</f>
        <v>0</v>
      </c>
      <c r="AV13">
        <f>'01-13'!AV13-'12-05'!AV13</f>
        <v>0</v>
      </c>
      <c r="AW13">
        <f>'01-13'!AW13-'12-05'!AW13</f>
        <v>0</v>
      </c>
      <c r="AX13">
        <f>'01-13'!AX13-'12-05'!AX13</f>
        <v>2.8350000000000014E-2</v>
      </c>
      <c r="AY13">
        <f>'01-13'!AY13-'12-05'!AY13</f>
        <v>5.3317665232800664</v>
      </c>
      <c r="AZ13">
        <f>'01-13'!AZ13-'12-05'!AZ13</f>
        <v>2.9968857663760105</v>
      </c>
    </row>
    <row r="14" spans="1:52" x14ac:dyDescent="0.35">
      <c r="A14" t="s">
        <v>66</v>
      </c>
      <c r="B14" t="s">
        <v>64</v>
      </c>
      <c r="C14">
        <v>0</v>
      </c>
      <c r="D14">
        <f>'01-13'!D14-'12-05'!D14</f>
        <v>0</v>
      </c>
      <c r="E14">
        <f>'01-13'!E14-'12-05'!E14</f>
        <v>0</v>
      </c>
      <c r="F14">
        <f>'01-13'!F14-'12-05'!F14</f>
        <v>0</v>
      </c>
      <c r="G14">
        <f>'01-13'!G14-'12-05'!G14</f>
        <v>0</v>
      </c>
      <c r="H14">
        <f>'01-13'!H14-'12-05'!H14</f>
        <v>0</v>
      </c>
      <c r="I14">
        <f>'01-13'!I14-'12-05'!I14</f>
        <v>0</v>
      </c>
      <c r="J14">
        <f>'01-13'!J14-'12-05'!J14</f>
        <v>314.24788520780203</v>
      </c>
      <c r="K14">
        <f>'01-13'!K14-'12-05'!K14</f>
        <v>122.20057627220012</v>
      </c>
      <c r="L14">
        <f>'01-13'!L14-'12-05'!L14</f>
        <v>0.2</v>
      </c>
      <c r="M14">
        <f>'01-13'!M14-'12-05'!M14</f>
        <v>9.5336928239498775</v>
      </c>
      <c r="N14">
        <f>'01-13'!N14-'12-05'!N14</f>
        <v>24.075840511988986</v>
      </c>
      <c r="O14">
        <f>'01-13'!O14-'12-05'!O14</f>
        <v>0</v>
      </c>
      <c r="P14">
        <f>'01-13'!P14-'12-05'!P14</f>
        <v>24.487194856850238</v>
      </c>
      <c r="Q14">
        <f>'01-13'!Q14-'12-05'!Q14</f>
        <v>-32.985585208470184</v>
      </c>
      <c r="R14">
        <f>'01-13'!R14-'12-05'!R14</f>
        <v>3.1783503095598462</v>
      </c>
      <c r="S14">
        <f>'01-13'!S14-'12-05'!S14</f>
        <v>0</v>
      </c>
      <c r="T14">
        <f>'01-13'!T14-'12-05'!T14</f>
        <v>0</v>
      </c>
      <c r="U14">
        <f>'01-13'!U14-'12-05'!U14</f>
        <v>-21.721042303015992</v>
      </c>
      <c r="V14">
        <f>'01-13'!V14-'12-05'!V14</f>
        <v>-5.5771480593598426</v>
      </c>
      <c r="W14">
        <f>'01-13'!W14-'12-05'!W14</f>
        <v>0</v>
      </c>
      <c r="X14">
        <f>'01-13'!X14-'12-05'!X14</f>
        <v>0</v>
      </c>
      <c r="Y14">
        <f>'01-13'!Y14-'12-05'!Y14</f>
        <v>0</v>
      </c>
      <c r="Z14">
        <f>'01-13'!Z14-'12-05'!Z14</f>
        <v>0</v>
      </c>
      <c r="AA14">
        <f>'01-13'!AA14-'12-05'!AA14</f>
        <v>0</v>
      </c>
      <c r="AB14">
        <f>'01-13'!AB14-'12-05'!AB14</f>
        <v>4.1999999999999886</v>
      </c>
      <c r="AC14">
        <f>'01-13'!AC14-'12-05'!AC14</f>
        <v>0</v>
      </c>
      <c r="AD14">
        <f>'01-13'!AD14-'12-05'!AD14</f>
        <v>0</v>
      </c>
      <c r="AE14">
        <f>'01-13'!AE14-'12-05'!AE14</f>
        <v>0</v>
      </c>
      <c r="AF14">
        <f>'01-13'!AF14-'12-05'!AF14</f>
        <v>0</v>
      </c>
      <c r="AG14">
        <f>'01-13'!AG14-'12-05'!AG14</f>
        <v>0</v>
      </c>
      <c r="AH14">
        <f>'01-13'!AH14-'12-05'!AH14</f>
        <v>8.8134855270600383</v>
      </c>
      <c r="AI14">
        <f>'01-13'!AI14-'12-05'!AI14</f>
        <v>4.371490151455987</v>
      </c>
      <c r="AJ14">
        <f>'01-13'!AJ14-'12-05'!AJ14</f>
        <v>14.793010592540213</v>
      </c>
      <c r="AK14">
        <f>'01-13'!AK14-'12-05'!AK14</f>
        <v>-1.7769270952499028</v>
      </c>
      <c r="AL14">
        <f>'01-13'!AL14-'12-05'!AL14</f>
        <v>-5.8450305729991214E-3</v>
      </c>
      <c r="AM14">
        <f>'01-13'!AM14-'12-05'!AM14</f>
        <v>2.7009486683146946</v>
      </c>
      <c r="AN14">
        <f>'01-13'!AN14-'12-05'!AN14</f>
        <v>-8.8147770811597184</v>
      </c>
      <c r="AO14">
        <f>'01-13'!AO14-'12-05'!AO14</f>
        <v>-3.6321461698350106</v>
      </c>
      <c r="AP14">
        <f>'01-13'!AP14-'12-05'!AP14</f>
        <v>0</v>
      </c>
      <c r="AQ14">
        <f>'01-13'!AQ14-'12-05'!AQ14</f>
        <v>0</v>
      </c>
      <c r="AR14">
        <f>'01-13'!AR14-'12-05'!AR14</f>
        <v>0</v>
      </c>
      <c r="AS14">
        <f>'01-13'!AS14-'12-05'!AS14</f>
        <v>0.42000000000000171</v>
      </c>
      <c r="AT14">
        <f>'01-13'!AT14-'12-05'!AT14</f>
        <v>0.68373675000000134</v>
      </c>
      <c r="AU14">
        <f>'01-13'!AU14-'12-05'!AU14</f>
        <v>0</v>
      </c>
      <c r="AV14">
        <f>'01-13'!AV14-'12-05'!AV14</f>
        <v>0</v>
      </c>
      <c r="AW14">
        <f>'01-13'!AW14-'12-05'!AW14</f>
        <v>0</v>
      </c>
      <c r="AX14">
        <f>'01-13'!AX14-'12-05'!AX14</f>
        <v>2.6774999999999993E-2</v>
      </c>
      <c r="AY14">
        <f>'01-13'!AY14-'12-05'!AY14</f>
        <v>7.3148007668701212</v>
      </c>
      <c r="AZ14">
        <f>'01-13'!AZ14-'12-05'!AZ14</f>
        <v>3.9804710504529908</v>
      </c>
    </row>
    <row r="15" spans="1:52" x14ac:dyDescent="0.35">
      <c r="A15" t="s">
        <v>67</v>
      </c>
      <c r="B15" t="s">
        <v>64</v>
      </c>
      <c r="C15">
        <v>0</v>
      </c>
      <c r="D15">
        <f>'01-13'!D15-'12-05'!D15</f>
        <v>0</v>
      </c>
      <c r="E15">
        <f>'01-13'!E15-'12-05'!E15</f>
        <v>0</v>
      </c>
      <c r="F15">
        <f>'01-13'!F15-'12-05'!F15</f>
        <v>0</v>
      </c>
      <c r="G15">
        <f>'01-13'!G15-'12-05'!G15</f>
        <v>0</v>
      </c>
      <c r="H15">
        <f>'01-13'!H15-'12-05'!H15</f>
        <v>0</v>
      </c>
      <c r="I15">
        <f>'01-13'!I15-'12-05'!I15</f>
        <v>0</v>
      </c>
      <c r="J15">
        <f>'01-13'!J15-'12-05'!J15</f>
        <v>317.19537475479956</v>
      </c>
      <c r="K15">
        <f>'01-13'!K15-'12-05'!K15</f>
        <v>123.17103791949921</v>
      </c>
      <c r="L15">
        <f>'01-13'!L15-'12-05'!L15</f>
        <v>0.19999999999999998</v>
      </c>
      <c r="M15">
        <f>'01-13'!M15-'12-05'!M15</f>
        <v>9.6396982252499583</v>
      </c>
      <c r="N15">
        <f>'01-13'!N15-'12-05'!N15</f>
        <v>24.313069556562027</v>
      </c>
      <c r="O15">
        <f>'01-13'!O15-'12-05'!O15</f>
        <v>0</v>
      </c>
      <c r="P15">
        <f>'01-13'!P15-'12-05'!P15</f>
        <v>24.705798006420082</v>
      </c>
      <c r="Q15">
        <f>'01-13'!Q15-'12-05'!Q15</f>
        <v>-33.29904185372925</v>
      </c>
      <c r="R15">
        <f>'01-13'!R15-'12-05'!R15</f>
        <v>3.2276775963500768</v>
      </c>
      <c r="S15">
        <f>'01-13'!S15-'12-05'!S15</f>
        <v>0</v>
      </c>
      <c r="T15">
        <f>'01-13'!T15-'12-05'!T15</f>
        <v>0</v>
      </c>
      <c r="U15">
        <f>'01-13'!U15-'12-05'!U15</f>
        <v>-21.699320621840002</v>
      </c>
      <c r="V15">
        <f>'01-13'!V15-'12-05'!V15</f>
        <v>-5.5600503005498467</v>
      </c>
      <c r="W15">
        <f>'01-13'!W15-'12-05'!W15</f>
        <v>0</v>
      </c>
      <c r="X15">
        <f>'01-13'!X15-'12-05'!X15</f>
        <v>0</v>
      </c>
      <c r="Y15">
        <f>'01-13'!Y15-'12-05'!Y15</f>
        <v>0</v>
      </c>
      <c r="Z15">
        <f>'01-13'!Z15-'12-05'!Z15</f>
        <v>0</v>
      </c>
      <c r="AA15">
        <f>'01-13'!AA15-'12-05'!AA15</f>
        <v>0</v>
      </c>
      <c r="AB15">
        <f>'01-13'!AB15-'12-05'!AB15</f>
        <v>4.1999999999999886</v>
      </c>
      <c r="AC15">
        <f>'01-13'!AC15-'12-05'!AC15</f>
        <v>0</v>
      </c>
      <c r="AD15">
        <f>'01-13'!AD15-'12-05'!AD15</f>
        <v>0</v>
      </c>
      <c r="AE15">
        <f>'01-13'!AE15-'12-05'!AE15</f>
        <v>0</v>
      </c>
      <c r="AF15">
        <f>'01-13'!AF15-'12-05'!AF15</f>
        <v>0</v>
      </c>
      <c r="AG15">
        <f>'01-13'!AG15-'12-05'!AG15</f>
        <v>0</v>
      </c>
      <c r="AH15">
        <f>'01-13'!AH15-'12-05'!AH15</f>
        <v>8.8484670507400551</v>
      </c>
      <c r="AI15">
        <f>'01-13'!AI15-'12-05'!AI15</f>
        <v>4.7749863124940362</v>
      </c>
      <c r="AJ15">
        <f>'01-13'!AJ15-'12-05'!AJ15</f>
        <v>16.82839537953987</v>
      </c>
      <c r="AK15">
        <f>'01-13'!AK15-'12-05'!AK15</f>
        <v>-1.9761114463999547</v>
      </c>
      <c r="AL15">
        <f>'01-13'!AL15-'12-05'!AL15</f>
        <v>-5.8450305719759399E-3</v>
      </c>
      <c r="AM15">
        <f>'01-13'!AM15-'12-05'!AM15</f>
        <v>3.4242593557094096</v>
      </c>
      <c r="AN15">
        <f>'01-13'!AN15-'12-05'!AN15</f>
        <v>-5.0045438987799571</v>
      </c>
      <c r="AO15">
        <f>'01-13'!AO15-'12-05'!AO15</f>
        <v>0</v>
      </c>
      <c r="AP15">
        <f>'01-13'!AP15-'12-05'!AP15</f>
        <v>0</v>
      </c>
      <c r="AQ15">
        <f>'01-13'!AQ15-'12-05'!AQ15</f>
        <v>0</v>
      </c>
      <c r="AR15">
        <f>'01-13'!AR15-'12-05'!AR15</f>
        <v>0</v>
      </c>
      <c r="AS15">
        <f>'01-13'!AS15-'12-05'!AS15</f>
        <v>0.25200000000000244</v>
      </c>
      <c r="AT15">
        <f>'01-13'!AT15-'12-05'!AT15</f>
        <v>0.82954124999999834</v>
      </c>
      <c r="AU15">
        <f>'01-13'!AU15-'12-05'!AU15</f>
        <v>0</v>
      </c>
      <c r="AV15">
        <f>'01-13'!AV15-'12-05'!AV15</f>
        <v>0</v>
      </c>
      <c r="AW15">
        <f>'01-13'!AW15-'12-05'!AW15</f>
        <v>0</v>
      </c>
      <c r="AX15">
        <f>'01-13'!AX15-'12-05'!AX15</f>
        <v>2.3625000000000007E-2</v>
      </c>
      <c r="AY15">
        <f>'01-13'!AY15-'12-05'!AY15</f>
        <v>7.8619099039301545</v>
      </c>
      <c r="AZ15">
        <f>'01-13'!AZ15-'12-05'!AZ15</f>
        <v>3.8155888157029949</v>
      </c>
    </row>
    <row r="16" spans="1:52" x14ac:dyDescent="0.35">
      <c r="A16" t="s">
        <v>68</v>
      </c>
      <c r="B16" t="s">
        <v>64</v>
      </c>
      <c r="C16">
        <v>0</v>
      </c>
      <c r="D16">
        <f>'01-13'!D16-'12-05'!D16</f>
        <v>0</v>
      </c>
      <c r="E16">
        <f>'01-13'!E16-'12-05'!E16</f>
        <v>0</v>
      </c>
      <c r="F16">
        <f>'01-13'!F16-'12-05'!F16</f>
        <v>0</v>
      </c>
      <c r="G16">
        <f>'01-13'!G16-'12-05'!G16</f>
        <v>0</v>
      </c>
      <c r="H16">
        <f>'01-13'!H16-'12-05'!H16</f>
        <v>0</v>
      </c>
      <c r="I16">
        <f>'01-13'!I16-'12-05'!I16</f>
        <v>0</v>
      </c>
      <c r="J16">
        <f>'01-13'!J16-'12-05'!J16</f>
        <v>320.1578312426027</v>
      </c>
      <c r="K16">
        <f>'01-13'!K16-'12-05'!K16</f>
        <v>124.27043803370179</v>
      </c>
      <c r="L16">
        <f>'01-13'!L16-'12-05'!L16</f>
        <v>0.19999999999999998</v>
      </c>
      <c r="M16">
        <f>'01-13'!M16-'12-05'!M16</f>
        <v>9.7136301057298624</v>
      </c>
      <c r="N16">
        <f>'01-13'!N16-'12-05'!N16</f>
        <v>24.552636115355995</v>
      </c>
      <c r="O16">
        <f>'01-13'!O16-'12-05'!O16</f>
        <v>0</v>
      </c>
      <c r="P16">
        <f>'01-13'!P16-'12-05'!P16</f>
        <v>24.919132811009604</v>
      </c>
      <c r="Q16">
        <f>'01-13'!Q16-'12-05'!Q16</f>
        <v>-33.615398884549904</v>
      </c>
      <c r="R16">
        <f>'01-13'!R16-'12-05'!R16</f>
        <v>3.2695170134397813</v>
      </c>
      <c r="S16">
        <f>'01-13'!S16-'12-05'!S16</f>
        <v>0</v>
      </c>
      <c r="T16">
        <f>'01-13'!T16-'12-05'!T16</f>
        <v>0</v>
      </c>
      <c r="U16">
        <f>'01-13'!U16-'12-05'!U16</f>
        <v>-21.725514413847009</v>
      </c>
      <c r="V16">
        <f>'01-13'!V16-'12-05'!V16</f>
        <v>-5.5426105865599311</v>
      </c>
      <c r="W16">
        <f>'01-13'!W16-'12-05'!W16</f>
        <v>0</v>
      </c>
      <c r="X16">
        <f>'01-13'!X16-'12-05'!X16</f>
        <v>0</v>
      </c>
      <c r="Y16">
        <f>'01-13'!Y16-'12-05'!Y16</f>
        <v>0</v>
      </c>
      <c r="Z16">
        <f>'01-13'!Z16-'12-05'!Z16</f>
        <v>0</v>
      </c>
      <c r="AA16">
        <f>'01-13'!AA16-'12-05'!AA16</f>
        <v>0</v>
      </c>
      <c r="AB16">
        <f>'01-13'!AB16-'12-05'!AB16</f>
        <v>4.1999999999999886</v>
      </c>
      <c r="AC16">
        <f>'01-13'!AC16-'12-05'!AC16</f>
        <v>0</v>
      </c>
      <c r="AD16">
        <f>'01-13'!AD16-'12-05'!AD16</f>
        <v>0</v>
      </c>
      <c r="AE16">
        <f>'01-13'!AE16-'12-05'!AE16</f>
        <v>0</v>
      </c>
      <c r="AF16">
        <f>'01-13'!AF16-'12-05'!AF16</f>
        <v>0</v>
      </c>
      <c r="AG16">
        <f>'01-13'!AG16-'12-05'!AG16</f>
        <v>0</v>
      </c>
      <c r="AH16">
        <f>'01-13'!AH16-'12-05'!AH16</f>
        <v>9.3545218387298519</v>
      </c>
      <c r="AI16">
        <f>'01-13'!AI16-'12-05'!AI16</f>
        <v>4.4958924180699569</v>
      </c>
      <c r="AJ16">
        <f>'01-13'!AJ16-'12-05'!AJ16</f>
        <v>18.883108133170026</v>
      </c>
      <c r="AK16">
        <f>'01-13'!AK16-'12-05'!AK16</f>
        <v>-2.1777524694400654</v>
      </c>
      <c r="AL16">
        <f>'01-13'!AL16-'12-05'!AL16</f>
        <v>-5.8450305729991214E-3</v>
      </c>
      <c r="AM16">
        <f>'01-13'!AM16-'12-05'!AM16</f>
        <v>4.1484431695043043</v>
      </c>
      <c r="AN16">
        <f>'01-13'!AN16-'12-05'!AN16</f>
        <v>-5.0115868907500953</v>
      </c>
      <c r="AO16">
        <f>'01-13'!AO16-'12-05'!AO16</f>
        <v>0</v>
      </c>
      <c r="AP16">
        <f>'01-13'!AP16-'12-05'!AP16</f>
        <v>0</v>
      </c>
      <c r="AQ16">
        <f>'01-13'!AQ16-'12-05'!AQ16</f>
        <v>0</v>
      </c>
      <c r="AR16">
        <f>'01-13'!AR16-'12-05'!AR16</f>
        <v>0</v>
      </c>
      <c r="AS16">
        <f>'01-13'!AS16-'12-05'!AS16</f>
        <v>0.14000000000000057</v>
      </c>
      <c r="AT16">
        <f>'01-13'!AT16-'12-05'!AT16</f>
        <v>0.97129125000000016</v>
      </c>
      <c r="AU16">
        <f>'01-13'!AU16-'12-05'!AU16</f>
        <v>0</v>
      </c>
      <c r="AV16">
        <f>'01-13'!AV16-'12-05'!AV16</f>
        <v>0</v>
      </c>
      <c r="AW16">
        <f>'01-13'!AW16-'12-05'!AW16</f>
        <v>0</v>
      </c>
      <c r="AX16">
        <f>'01-13'!AX16-'12-05'!AX16</f>
        <v>2.3625000000000007E-2</v>
      </c>
      <c r="AY16">
        <f>'01-13'!AY16-'12-05'!AY16</f>
        <v>8.0377650220400483</v>
      </c>
      <c r="AZ16">
        <f>'01-13'!AZ16-'12-05'!AZ16</f>
        <v>3.9805303204000211</v>
      </c>
    </row>
    <row r="17" spans="1:52" x14ac:dyDescent="0.35">
      <c r="A17" t="s">
        <v>69</v>
      </c>
      <c r="B17" t="s">
        <v>64</v>
      </c>
      <c r="C17">
        <v>0</v>
      </c>
      <c r="D17">
        <f>'01-13'!D17-'12-05'!D17</f>
        <v>0</v>
      </c>
      <c r="E17">
        <f>'01-13'!E17-'12-05'!E17</f>
        <v>0</v>
      </c>
      <c r="F17">
        <f>'01-13'!F17-'12-05'!F17</f>
        <v>0</v>
      </c>
      <c r="G17">
        <f>'01-13'!G17-'12-05'!G17</f>
        <v>0</v>
      </c>
      <c r="H17">
        <f>'01-13'!H17-'12-05'!H17</f>
        <v>0</v>
      </c>
      <c r="I17">
        <f>'01-13'!I17-'12-05'!I17</f>
        <v>0</v>
      </c>
      <c r="J17">
        <f>'01-13'!J17-'12-05'!J17</f>
        <v>323.19612023060108</v>
      </c>
      <c r="K17">
        <f>'01-13'!K17-'12-05'!K17</f>
        <v>125.44001262339953</v>
      </c>
      <c r="L17">
        <f>'01-13'!L17-'12-05'!L17</f>
        <v>0.1</v>
      </c>
      <c r="M17">
        <f>'01-13'!M17-'12-05'!M17</f>
        <v>9.8349606049400791</v>
      </c>
      <c r="N17">
        <f>'01-13'!N17-'12-05'!N17</f>
        <v>24.794563220850023</v>
      </c>
      <c r="O17">
        <f>'01-13'!O17-'12-05'!O17</f>
        <v>0</v>
      </c>
      <c r="P17">
        <f>'01-13'!P17-'12-05'!P17</f>
        <v>25.127811115420172</v>
      </c>
      <c r="Q17">
        <f>'01-13'!Q17-'12-05'!Q17</f>
        <v>-33.960745263790159</v>
      </c>
      <c r="R17">
        <f>'01-13'!R17-'12-05'!R17</f>
        <v>3.3118428964198756</v>
      </c>
      <c r="S17">
        <f>'01-13'!S17-'12-05'!S17</f>
        <v>0</v>
      </c>
      <c r="T17">
        <f>'01-13'!T17-'12-05'!T17</f>
        <v>0</v>
      </c>
      <c r="U17">
        <f>'01-13'!U17-'12-05'!U17</f>
        <v>-21.683987670421999</v>
      </c>
      <c r="V17">
        <f>'01-13'!V17-'12-05'!V17</f>
        <v>-5.6084509062798134</v>
      </c>
      <c r="W17">
        <f>'01-13'!W17-'12-05'!W17</f>
        <v>0</v>
      </c>
      <c r="X17">
        <f>'01-13'!X17-'12-05'!X17</f>
        <v>0</v>
      </c>
      <c r="Y17">
        <f>'01-13'!Y17-'12-05'!Y17</f>
        <v>0</v>
      </c>
      <c r="Z17">
        <f>'01-13'!Z17-'12-05'!Z17</f>
        <v>0</v>
      </c>
      <c r="AA17">
        <f>'01-13'!AA17-'12-05'!AA17</f>
        <v>0</v>
      </c>
      <c r="AB17">
        <f>'01-13'!AB17-'12-05'!AB17</f>
        <v>4.1999999999999886</v>
      </c>
      <c r="AC17">
        <f>'01-13'!AC17-'12-05'!AC17</f>
        <v>0</v>
      </c>
      <c r="AD17">
        <f>'01-13'!AD17-'12-05'!AD17</f>
        <v>0</v>
      </c>
      <c r="AE17">
        <f>'01-13'!AE17-'12-05'!AE17</f>
        <v>0</v>
      </c>
      <c r="AF17">
        <f>'01-13'!AF17-'12-05'!AF17</f>
        <v>0</v>
      </c>
      <c r="AG17">
        <f>'01-13'!AG17-'12-05'!AG17</f>
        <v>0</v>
      </c>
      <c r="AH17">
        <f>'01-13'!AH17-'12-05'!AH17</f>
        <v>9.4376520999398963</v>
      </c>
      <c r="AI17">
        <f>'01-13'!AI17-'12-05'!AI17</f>
        <v>4.6431168776790059</v>
      </c>
      <c r="AJ17">
        <f>'01-13'!AJ17-'12-05'!AJ17</f>
        <v>20.960455053599617</v>
      </c>
      <c r="AK17">
        <f>'01-13'!AK17-'12-05'!AK17</f>
        <v>-2.3815129612301007</v>
      </c>
      <c r="AL17">
        <f>'01-13'!AL17-'12-05'!AL17</f>
        <v>-5.8450305729991214E-3</v>
      </c>
      <c r="AM17">
        <f>'01-13'!AM17-'12-05'!AM17</f>
        <v>4.8712427585183917</v>
      </c>
      <c r="AN17">
        <f>'01-13'!AN17-'12-05'!AN17</f>
        <v>-5.0148584668700096</v>
      </c>
      <c r="AO17">
        <f>'01-13'!AO17-'12-05'!AO17</f>
        <v>0</v>
      </c>
      <c r="AP17">
        <f>'01-13'!AP17-'12-05'!AP17</f>
        <v>0</v>
      </c>
      <c r="AQ17">
        <f>'01-13'!AQ17-'12-05'!AQ17</f>
        <v>0</v>
      </c>
      <c r="AR17">
        <f>'01-13'!AR17-'12-05'!AR17</f>
        <v>0</v>
      </c>
      <c r="AS17">
        <f>'01-13'!AS17-'12-05'!AS17</f>
        <v>0.13999999999999346</v>
      </c>
      <c r="AT17">
        <f>'01-13'!AT17-'12-05'!AT17</f>
        <v>1.113041250000002</v>
      </c>
      <c r="AU17">
        <f>'01-13'!AU17-'12-05'!AU17</f>
        <v>0</v>
      </c>
      <c r="AV17">
        <f>'01-13'!AV17-'12-05'!AV17</f>
        <v>0</v>
      </c>
      <c r="AW17">
        <f>'01-13'!AW17-'12-05'!AW17</f>
        <v>0</v>
      </c>
      <c r="AX17">
        <f>'01-13'!AX17-'12-05'!AX17</f>
        <v>2.3624999999999993E-2</v>
      </c>
      <c r="AY17">
        <f>'01-13'!AY17-'12-05'!AY17</f>
        <v>8.2021784662101709</v>
      </c>
      <c r="AZ17">
        <f>'01-13'!AZ17-'12-05'!AZ17</f>
        <v>4.1142342959320217</v>
      </c>
    </row>
    <row r="18" spans="1:52" x14ac:dyDescent="0.35">
      <c r="A18" t="s">
        <v>70</v>
      </c>
      <c r="B18" t="s">
        <v>64</v>
      </c>
      <c r="C18">
        <v>0</v>
      </c>
      <c r="D18">
        <f>'01-13'!D18-'12-05'!D18</f>
        <v>0</v>
      </c>
      <c r="E18">
        <f>'01-13'!E18-'12-05'!E18</f>
        <v>0</v>
      </c>
      <c r="F18">
        <f>'01-13'!F18-'12-05'!F18</f>
        <v>0</v>
      </c>
      <c r="G18">
        <f>'01-13'!G18-'12-05'!G18</f>
        <v>0</v>
      </c>
      <c r="H18">
        <f>'01-13'!H18-'12-05'!H18</f>
        <v>0</v>
      </c>
      <c r="I18">
        <f>'01-13'!I18-'12-05'!I18</f>
        <v>0</v>
      </c>
      <c r="J18">
        <f>'01-13'!J18-'12-05'!J18</f>
        <v>326.15358773820481</v>
      </c>
      <c r="K18">
        <f>'01-13'!K18-'12-05'!K18</f>
        <v>126.48350136709996</v>
      </c>
      <c r="L18">
        <f>'01-13'!L18-'12-05'!L18</f>
        <v>0.1</v>
      </c>
      <c r="M18">
        <f>'01-13'!M18-'12-05'!M18</f>
        <v>9.91377253112978</v>
      </c>
      <c r="N18">
        <f>'01-13'!N18-'12-05'!N18</f>
        <v>25.038874132469005</v>
      </c>
      <c r="O18">
        <f>'01-13'!O18-'12-05'!O18</f>
        <v>0</v>
      </c>
      <c r="P18">
        <f>'01-13'!P18-'12-05'!P18</f>
        <v>25.342279618810153</v>
      </c>
      <c r="Q18">
        <f>'01-13'!Q18-'12-05'!Q18</f>
        <v>-34.271167891190089</v>
      </c>
      <c r="R18">
        <f>'01-13'!R18-'12-05'!R18</f>
        <v>3.359711192240411</v>
      </c>
      <c r="S18">
        <f>'01-13'!S18-'12-05'!S18</f>
        <v>0</v>
      </c>
      <c r="T18">
        <f>'01-13'!T18-'12-05'!T18</f>
        <v>0</v>
      </c>
      <c r="U18">
        <f>'01-13'!U18-'12-05'!U18</f>
        <v>-21.604128548451001</v>
      </c>
      <c r="V18">
        <f>'01-13'!V18-'12-05'!V18</f>
        <v>-5.5903066278601727</v>
      </c>
      <c r="W18">
        <f>'01-13'!W18-'12-05'!W18</f>
        <v>0</v>
      </c>
      <c r="X18">
        <f>'01-13'!X18-'12-05'!X18</f>
        <v>0</v>
      </c>
      <c r="Y18">
        <f>'01-13'!Y18-'12-05'!Y18</f>
        <v>0</v>
      </c>
      <c r="Z18">
        <f>'01-13'!Z18-'12-05'!Z18</f>
        <v>0</v>
      </c>
      <c r="AA18">
        <f>'01-13'!AA18-'12-05'!AA18</f>
        <v>0</v>
      </c>
      <c r="AB18">
        <f>'01-13'!AB18-'12-05'!AB18</f>
        <v>4.1999999999999886</v>
      </c>
      <c r="AC18">
        <f>'01-13'!AC18-'12-05'!AC18</f>
        <v>0</v>
      </c>
      <c r="AD18">
        <f>'01-13'!AD18-'12-05'!AD18</f>
        <v>0</v>
      </c>
      <c r="AE18">
        <f>'01-13'!AE18-'12-05'!AE18</f>
        <v>0</v>
      </c>
      <c r="AF18">
        <f>'01-13'!AF18-'12-05'!AF18</f>
        <v>0</v>
      </c>
      <c r="AG18">
        <f>'01-13'!AG18-'12-05'!AG18</f>
        <v>0</v>
      </c>
      <c r="AH18">
        <f>'01-13'!AH18-'12-05'!AH18</f>
        <v>9.5448050611998951</v>
      </c>
      <c r="AI18">
        <f>'01-13'!AI18-'12-05'!AI18</f>
        <v>4.7701180256639759</v>
      </c>
      <c r="AJ18">
        <f>'01-13'!AJ18-'12-05'!AJ18</f>
        <v>21.910071267470357</v>
      </c>
      <c r="AK18">
        <f>'01-13'!AK18-'12-05'!AK18</f>
        <v>-2.5885072834901166</v>
      </c>
      <c r="AL18">
        <f>'01-13'!AL18-'12-05'!AL18</f>
        <v>-5.8450305730275431E-3</v>
      </c>
      <c r="AM18">
        <f>'01-13'!AM18-'12-05'!AM18</f>
        <v>5.5913803768000037</v>
      </c>
      <c r="AN18">
        <f>'01-13'!AN18-'12-05'!AN18</f>
        <v>-5.0178191447798781</v>
      </c>
      <c r="AO18">
        <f>'01-13'!AO18-'12-05'!AO18</f>
        <v>0</v>
      </c>
      <c r="AP18">
        <f>'01-13'!AP18-'12-05'!AP18</f>
        <v>0</v>
      </c>
      <c r="AQ18">
        <f>'01-13'!AQ18-'12-05'!AQ18</f>
        <v>0</v>
      </c>
      <c r="AR18">
        <f>'01-13'!AR18-'12-05'!AR18</f>
        <v>0</v>
      </c>
      <c r="AS18">
        <f>'01-13'!AS18-'12-05'!AS18</f>
        <v>0.11199999999999477</v>
      </c>
      <c r="AT18">
        <f>'01-13'!AT18-'12-05'!AT18</f>
        <v>1.2547912500000038</v>
      </c>
      <c r="AU18">
        <f>'01-13'!AU18-'12-05'!AU18</f>
        <v>0</v>
      </c>
      <c r="AV18">
        <f>'01-13'!AV18-'12-05'!AV18</f>
        <v>0</v>
      </c>
      <c r="AW18">
        <f>'01-13'!AW18-'12-05'!AW18</f>
        <v>0</v>
      </c>
      <c r="AX18">
        <f>'01-13'!AX18-'12-05'!AX18</f>
        <v>2.3624999999999993E-2</v>
      </c>
      <c r="AY18">
        <f>'01-13'!AY18-'12-05'!AY18</f>
        <v>8.3667253613900812</v>
      </c>
      <c r="AZ18">
        <f>'01-13'!AZ18-'12-05'!AZ18</f>
        <v>4.2039255676289713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01-13</vt:lpstr>
      <vt:lpstr>12-05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SAhmad</dc:creator>
  <cp:lastModifiedBy>Sarah Ahmad</cp:lastModifiedBy>
  <dcterms:created xsi:type="dcterms:W3CDTF">2026-01-13T18:53:55Z</dcterms:created>
  <dcterms:modified xsi:type="dcterms:W3CDTF">2026-01-13T20:18:41Z</dcterms:modified>
</cp:coreProperties>
</file>