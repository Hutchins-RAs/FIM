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toja\fim\"/>
    </mc:Choice>
  </mc:AlternateContent>
  <xr:revisionPtr revIDLastSave="0" documentId="13_ncr:1_{4613E7C7-2ED3-4E58-9CB2-1DC667728D7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teractive-01-2024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6" i="1" l="1"/>
  <c r="L106" i="1" s="1"/>
  <c r="K107" i="1"/>
  <c r="L107" i="1"/>
  <c r="K4" i="1"/>
  <c r="L4" i="1" s="1"/>
  <c r="K5" i="1"/>
  <c r="L5" i="1" s="1"/>
  <c r="K6" i="1"/>
  <c r="L6" i="1" s="1"/>
  <c r="K7" i="1"/>
  <c r="L7" i="1" s="1"/>
  <c r="K8" i="1"/>
  <c r="L8" i="1" s="1"/>
  <c r="K9" i="1"/>
  <c r="L9" i="1" s="1"/>
  <c r="K10" i="1"/>
  <c r="L10" i="1"/>
  <c r="K11" i="1"/>
  <c r="L11" i="1" s="1"/>
  <c r="K12" i="1"/>
  <c r="L12" i="1" s="1"/>
  <c r="K13" i="1"/>
  <c r="L13" i="1" s="1"/>
  <c r="K14" i="1"/>
  <c r="L14" i="1" s="1"/>
  <c r="K15" i="1"/>
  <c r="L15" i="1" s="1"/>
  <c r="K16" i="1"/>
  <c r="L16" i="1" s="1"/>
  <c r="K17" i="1"/>
  <c r="L17" i="1" s="1"/>
  <c r="K18" i="1"/>
  <c r="L18" i="1" s="1"/>
  <c r="K19" i="1"/>
  <c r="L19" i="1" s="1"/>
  <c r="K20" i="1"/>
  <c r="L20" i="1" s="1"/>
  <c r="K21" i="1"/>
  <c r="L21" i="1" s="1"/>
  <c r="K22" i="1"/>
  <c r="L22" i="1" s="1"/>
  <c r="K23" i="1"/>
  <c r="L23" i="1" s="1"/>
  <c r="K24" i="1"/>
  <c r="L24" i="1" s="1"/>
  <c r="K25" i="1"/>
  <c r="L25" i="1" s="1"/>
  <c r="K26" i="1"/>
  <c r="L26" i="1" s="1"/>
  <c r="K27" i="1"/>
  <c r="L27" i="1" s="1"/>
  <c r="K28" i="1"/>
  <c r="L28" i="1"/>
  <c r="K29" i="1"/>
  <c r="L29" i="1" s="1"/>
  <c r="K30" i="1"/>
  <c r="L30" i="1" s="1"/>
  <c r="K31" i="1"/>
  <c r="L31" i="1" s="1"/>
  <c r="K32" i="1"/>
  <c r="L32" i="1" s="1"/>
  <c r="K33" i="1"/>
  <c r="L33" i="1" s="1"/>
  <c r="K34" i="1"/>
  <c r="L34" i="1" s="1"/>
  <c r="K35" i="1"/>
  <c r="L35" i="1" s="1"/>
  <c r="K36" i="1"/>
  <c r="L36" i="1" s="1"/>
  <c r="K37" i="1"/>
  <c r="L37" i="1" s="1"/>
  <c r="K38" i="1"/>
  <c r="L38" i="1" s="1"/>
  <c r="K39" i="1"/>
  <c r="L39" i="1" s="1"/>
  <c r="K40" i="1"/>
  <c r="L40" i="1" s="1"/>
  <c r="K41" i="1"/>
  <c r="L41" i="1" s="1"/>
  <c r="K42" i="1"/>
  <c r="L42" i="1" s="1"/>
  <c r="K43" i="1"/>
  <c r="L43" i="1" s="1"/>
  <c r="K44" i="1"/>
  <c r="L44" i="1" s="1"/>
  <c r="K45" i="1"/>
  <c r="L45" i="1" s="1"/>
  <c r="K46" i="1"/>
  <c r="L46" i="1" s="1"/>
  <c r="K47" i="1"/>
  <c r="L47" i="1" s="1"/>
  <c r="K48" i="1"/>
  <c r="L48" i="1" s="1"/>
  <c r="K49" i="1"/>
  <c r="L49" i="1" s="1"/>
  <c r="K50" i="1"/>
  <c r="L50" i="1" s="1"/>
  <c r="K51" i="1"/>
  <c r="L51" i="1" s="1"/>
  <c r="K52" i="1"/>
  <c r="L52" i="1" s="1"/>
  <c r="K53" i="1"/>
  <c r="L53" i="1" s="1"/>
  <c r="K54" i="1"/>
  <c r="L54" i="1" s="1"/>
  <c r="K55" i="1"/>
  <c r="L55" i="1"/>
  <c r="K56" i="1"/>
  <c r="L56" i="1" s="1"/>
  <c r="K57" i="1"/>
  <c r="L57" i="1" s="1"/>
  <c r="K58" i="1"/>
  <c r="L58" i="1" s="1"/>
  <c r="K59" i="1"/>
  <c r="L59" i="1" s="1"/>
  <c r="K60" i="1"/>
  <c r="L60" i="1" s="1"/>
  <c r="K61" i="1"/>
  <c r="L61" i="1" s="1"/>
  <c r="K62" i="1"/>
  <c r="L62" i="1" s="1"/>
  <c r="K63" i="1"/>
  <c r="L63" i="1" s="1"/>
  <c r="K64" i="1"/>
  <c r="L64" i="1" s="1"/>
  <c r="K65" i="1"/>
  <c r="L65" i="1" s="1"/>
  <c r="K66" i="1"/>
  <c r="L66" i="1" s="1"/>
  <c r="K67" i="1"/>
  <c r="L67" i="1" s="1"/>
  <c r="K68" i="1"/>
  <c r="L68" i="1" s="1"/>
  <c r="K69" i="1"/>
  <c r="L69" i="1" s="1"/>
  <c r="K70" i="1"/>
  <c r="L70" i="1"/>
  <c r="K71" i="1"/>
  <c r="L71" i="1" s="1"/>
  <c r="K72" i="1"/>
  <c r="L72" i="1" s="1"/>
  <c r="K73" i="1"/>
  <c r="L73" i="1" s="1"/>
  <c r="K74" i="1"/>
  <c r="L74" i="1"/>
  <c r="K75" i="1"/>
  <c r="L75" i="1" s="1"/>
  <c r="K76" i="1"/>
  <c r="L76" i="1"/>
  <c r="K77" i="1"/>
  <c r="L77" i="1" s="1"/>
  <c r="K78" i="1"/>
  <c r="L78" i="1" s="1"/>
  <c r="K79" i="1"/>
  <c r="L79" i="1" s="1"/>
  <c r="K80" i="1"/>
  <c r="L80" i="1" s="1"/>
  <c r="K81" i="1"/>
  <c r="L81" i="1" s="1"/>
  <c r="K82" i="1"/>
  <c r="L82" i="1" s="1"/>
  <c r="K83" i="1"/>
  <c r="L83" i="1" s="1"/>
  <c r="K84" i="1"/>
  <c r="L84" i="1" s="1"/>
  <c r="K85" i="1"/>
  <c r="L85" i="1" s="1"/>
  <c r="K86" i="1"/>
  <c r="L86" i="1" s="1"/>
  <c r="K87" i="1"/>
  <c r="L87" i="1" s="1"/>
  <c r="K88" i="1"/>
  <c r="L88" i="1" s="1"/>
  <c r="K89" i="1"/>
  <c r="L89" i="1" s="1"/>
  <c r="K90" i="1"/>
  <c r="L90" i="1" s="1"/>
  <c r="K91" i="1"/>
  <c r="L91" i="1" s="1"/>
  <c r="K92" i="1"/>
  <c r="L92" i="1" s="1"/>
  <c r="K93" i="1"/>
  <c r="L93" i="1" s="1"/>
  <c r="K94" i="1"/>
  <c r="L94" i="1" s="1"/>
  <c r="K95" i="1"/>
  <c r="L95" i="1" s="1"/>
  <c r="K96" i="1"/>
  <c r="L96" i="1" s="1"/>
  <c r="K97" i="1"/>
  <c r="L97" i="1" s="1"/>
  <c r="K98" i="1"/>
  <c r="L98" i="1" s="1"/>
  <c r="K99" i="1"/>
  <c r="L99" i="1" s="1"/>
  <c r="K100" i="1"/>
  <c r="L100" i="1" s="1"/>
  <c r="K101" i="1"/>
  <c r="L101" i="1" s="1"/>
  <c r="K102" i="1"/>
  <c r="L102" i="1" s="1"/>
  <c r="K103" i="1"/>
  <c r="L103" i="1" s="1"/>
  <c r="K104" i="1"/>
  <c r="L104" i="1" s="1"/>
  <c r="K105" i="1"/>
  <c r="L105" i="1" s="1"/>
  <c r="K3" i="1"/>
  <c r="L3" i="1" s="1"/>
  <c r="M106" i="1" l="1"/>
  <c r="N106" i="1" s="1"/>
  <c r="M107" i="1"/>
  <c r="N107" i="1" s="1"/>
  <c r="M61" i="1"/>
  <c r="N61" i="1" s="1"/>
  <c r="M101" i="1"/>
  <c r="N101" i="1" s="1"/>
  <c r="M37" i="1"/>
  <c r="N37" i="1" s="1"/>
  <c r="M69" i="1"/>
  <c r="N69" i="1" s="1"/>
  <c r="M105" i="1"/>
  <c r="N105" i="1" s="1"/>
  <c r="M73" i="1"/>
  <c r="N73" i="1" s="1"/>
  <c r="M41" i="1"/>
  <c r="N41" i="1" s="1"/>
  <c r="M9" i="1"/>
  <c r="N9" i="1" s="1"/>
  <c r="M93" i="1"/>
  <c r="N93" i="1" s="1"/>
  <c r="M77" i="1"/>
  <c r="N77" i="1" s="1"/>
  <c r="M45" i="1"/>
  <c r="N45" i="1" s="1"/>
  <c r="M13" i="1"/>
  <c r="N13" i="1" s="1"/>
  <c r="M81" i="1"/>
  <c r="N81" i="1" s="1"/>
  <c r="M17" i="1"/>
  <c r="N17" i="1" s="1"/>
  <c r="M33" i="1"/>
  <c r="N33" i="1" s="1"/>
  <c r="M49" i="1"/>
  <c r="N49" i="1" s="1"/>
  <c r="M85" i="1"/>
  <c r="N85" i="1" s="1"/>
  <c r="M53" i="1"/>
  <c r="N53" i="1" s="1"/>
  <c r="M21" i="1"/>
  <c r="N21" i="1" s="1"/>
  <c r="M29" i="1"/>
  <c r="N29" i="1" s="1"/>
  <c r="M25" i="1"/>
  <c r="N25" i="1" s="1"/>
  <c r="M103" i="1"/>
  <c r="N103" i="1" s="1"/>
  <c r="M92" i="1"/>
  <c r="N92" i="1" s="1"/>
  <c r="M84" i="1"/>
  <c r="N84" i="1" s="1"/>
  <c r="M75" i="1"/>
  <c r="N75" i="1" s="1"/>
  <c r="Q20" i="1" s="1" a="1"/>
  <c r="Q20" i="1" s="1"/>
  <c r="M67" i="1"/>
  <c r="N67" i="1" s="1"/>
  <c r="Q18" i="1" s="1" a="1"/>
  <c r="Q18" i="1" s="1"/>
  <c r="M59" i="1"/>
  <c r="N59" i="1" s="1"/>
  <c r="Q16" i="1" s="1" a="1"/>
  <c r="Q16" i="1" s="1"/>
  <c r="M51" i="1"/>
  <c r="N51" i="1" s="1"/>
  <c r="Q14" i="1" s="1" a="1"/>
  <c r="Q14" i="1" s="1"/>
  <c r="M43" i="1"/>
  <c r="N43" i="1" s="1"/>
  <c r="Q12" i="1" s="1" a="1"/>
  <c r="Q12" i="1" s="1"/>
  <c r="M31" i="1"/>
  <c r="N31" i="1" s="1"/>
  <c r="Q9" i="1" s="1" a="1"/>
  <c r="Q9" i="1" s="1"/>
  <c r="M19" i="1"/>
  <c r="N19" i="1" s="1"/>
  <c r="Q6" i="1" s="1" a="1"/>
  <c r="Q6" i="1" s="1"/>
  <c r="M94" i="1"/>
  <c r="N94" i="1" s="1"/>
  <c r="M90" i="1"/>
  <c r="N90" i="1" s="1"/>
  <c r="M86" i="1"/>
  <c r="N86" i="1" s="1"/>
  <c r="M82" i="1"/>
  <c r="N82" i="1" s="1"/>
  <c r="M78" i="1"/>
  <c r="N78" i="1" s="1"/>
  <c r="M74" i="1"/>
  <c r="N74" i="1" s="1"/>
  <c r="M70" i="1"/>
  <c r="N70" i="1" s="1"/>
  <c r="M62" i="1"/>
  <c r="N62" i="1" s="1"/>
  <c r="M58" i="1"/>
  <c r="N58" i="1" s="1"/>
  <c r="M54" i="1"/>
  <c r="N54" i="1" s="1"/>
  <c r="M50" i="1"/>
  <c r="N50" i="1" s="1"/>
  <c r="M46" i="1"/>
  <c r="N46" i="1" s="1"/>
  <c r="M42" i="1"/>
  <c r="N42" i="1" s="1"/>
  <c r="M38" i="1"/>
  <c r="N38" i="1" s="1"/>
  <c r="M34" i="1"/>
  <c r="N34" i="1" s="1"/>
  <c r="M30" i="1"/>
  <c r="N30" i="1" s="1"/>
  <c r="M26" i="1"/>
  <c r="N26" i="1" s="1"/>
  <c r="M22" i="1"/>
  <c r="N22" i="1" s="1"/>
  <c r="M18" i="1"/>
  <c r="N18" i="1" s="1"/>
  <c r="M14" i="1"/>
  <c r="N14" i="1" s="1"/>
  <c r="M10" i="1"/>
  <c r="N10" i="1" s="1"/>
  <c r="M102" i="1"/>
  <c r="N102" i="1" s="1"/>
  <c r="M99" i="1"/>
  <c r="N99" i="1" s="1"/>
  <c r="Q26" i="1" s="1" a="1"/>
  <c r="Q26" i="1" s="1"/>
  <c r="M95" i="1"/>
  <c r="N95" i="1" s="1"/>
  <c r="Q25" i="1" s="1" a="1"/>
  <c r="Q25" i="1" s="1"/>
  <c r="M89" i="1"/>
  <c r="N89" i="1" s="1"/>
  <c r="M79" i="1"/>
  <c r="N79" i="1" s="1"/>
  <c r="Q21" i="1" s="1" a="1"/>
  <c r="Q21" i="1" s="1"/>
  <c r="M71" i="1"/>
  <c r="N71" i="1" s="1"/>
  <c r="Q19" i="1" s="1" a="1"/>
  <c r="Q19" i="1" s="1"/>
  <c r="M65" i="1"/>
  <c r="N65" i="1" s="1"/>
  <c r="M55" i="1"/>
  <c r="N55" i="1" s="1"/>
  <c r="Q15" i="1" s="1" a="1"/>
  <c r="Q15" i="1" s="1"/>
  <c r="M47" i="1"/>
  <c r="N47" i="1" s="1"/>
  <c r="Q13" i="1" s="1" a="1"/>
  <c r="Q13" i="1" s="1"/>
  <c r="M39" i="1"/>
  <c r="N39" i="1" s="1"/>
  <c r="Q11" i="1" s="1" a="1"/>
  <c r="Q11" i="1" s="1"/>
  <c r="M35" i="1"/>
  <c r="N35" i="1" s="1"/>
  <c r="Q10" i="1" s="1" a="1"/>
  <c r="Q10" i="1" s="1"/>
  <c r="M27" i="1"/>
  <c r="N27" i="1" s="1"/>
  <c r="Q8" i="1" s="1" a="1"/>
  <c r="Q8" i="1" s="1"/>
  <c r="M23" i="1"/>
  <c r="N23" i="1" s="1"/>
  <c r="Q7" i="1" s="1" a="1"/>
  <c r="Q7" i="1" s="1"/>
  <c r="M15" i="1"/>
  <c r="N15" i="1" s="1"/>
  <c r="Q5" i="1" s="1" a="1"/>
  <c r="Q5" i="1" s="1"/>
  <c r="M11" i="1"/>
  <c r="N11" i="1" s="1"/>
  <c r="Q4" i="1" s="1" a="1"/>
  <c r="Q4" i="1" s="1"/>
  <c r="M104" i="1"/>
  <c r="N104" i="1" s="1"/>
  <c r="M100" i="1"/>
  <c r="N100" i="1" s="1"/>
  <c r="M96" i="1"/>
  <c r="N96" i="1" s="1"/>
  <c r="M88" i="1"/>
  <c r="N88" i="1" s="1"/>
  <c r="M80" i="1"/>
  <c r="N80" i="1" s="1"/>
  <c r="M76" i="1"/>
  <c r="N76" i="1" s="1"/>
  <c r="M72" i="1"/>
  <c r="N72" i="1" s="1"/>
  <c r="M68" i="1"/>
  <c r="N68" i="1" s="1"/>
  <c r="M64" i="1"/>
  <c r="N64" i="1" s="1"/>
  <c r="M56" i="1"/>
  <c r="N56" i="1" s="1"/>
  <c r="M48" i="1"/>
  <c r="N48" i="1" s="1"/>
  <c r="M44" i="1"/>
  <c r="N44" i="1" s="1"/>
  <c r="M40" i="1"/>
  <c r="N40" i="1" s="1"/>
  <c r="M36" i="1"/>
  <c r="N36" i="1" s="1"/>
  <c r="M32" i="1"/>
  <c r="N32" i="1" s="1"/>
  <c r="M28" i="1"/>
  <c r="N28" i="1" s="1"/>
  <c r="M24" i="1"/>
  <c r="N24" i="1" s="1"/>
  <c r="M20" i="1"/>
  <c r="N20" i="1" s="1"/>
  <c r="M16" i="1"/>
  <c r="N16" i="1" s="1"/>
  <c r="M12" i="1"/>
  <c r="N12" i="1" s="1"/>
  <c r="M8" i="1"/>
  <c r="N8" i="1" s="1"/>
  <c r="M7" i="1"/>
  <c r="N7" i="1" s="1"/>
  <c r="Q3" i="1" s="1" a="1"/>
  <c r="Q3" i="1" s="1"/>
  <c r="M6" i="1"/>
  <c r="N6" i="1" s="1"/>
  <c r="M66" i="1"/>
  <c r="N66" i="1" s="1"/>
  <c r="M57" i="1"/>
  <c r="N57" i="1" s="1"/>
  <c r="M52" i="1"/>
  <c r="N52" i="1" s="1"/>
  <c r="M98" i="1"/>
  <c r="N98" i="1" s="1"/>
  <c r="M97" i="1"/>
  <c r="N97" i="1" s="1"/>
  <c r="M83" i="1"/>
  <c r="N83" i="1" s="1"/>
  <c r="Q22" i="1" s="1" a="1"/>
  <c r="Q22" i="1" s="1"/>
  <c r="M60" i="1"/>
  <c r="N60" i="1" s="1"/>
  <c r="M87" i="1"/>
  <c r="N87" i="1" s="1"/>
  <c r="Q23" i="1" s="1" a="1"/>
  <c r="Q23" i="1" s="1"/>
  <c r="M91" i="1"/>
  <c r="N91" i="1" s="1"/>
  <c r="Q24" i="1" s="1" a="1"/>
  <c r="Q24" i="1" s="1"/>
  <c r="M63" i="1"/>
  <c r="N63" i="1" s="1"/>
  <c r="Q17" i="1" s="1" a="1"/>
  <c r="Q1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<sst xmlns="http://schemas.openxmlformats.org/spreadsheetml/2006/main" count="123" uniqueCount="22">
  <si>
    <t>year</t>
  </si>
  <si>
    <t>quarter</t>
  </si>
  <si>
    <t>impact</t>
  </si>
  <si>
    <t>recession</t>
  </si>
  <si>
    <t>total</t>
  </si>
  <si>
    <t>federal</t>
  </si>
  <si>
    <t>state_local</t>
  </si>
  <si>
    <t>consumption</t>
  </si>
  <si>
    <t>projection</t>
  </si>
  <si>
    <t>Q4</t>
  </si>
  <si>
    <t>Q1</t>
  </si>
  <si>
    <t>Q2</t>
  </si>
  <si>
    <t>Q3</t>
  </si>
  <si>
    <t>compounded last 4 quarters</t>
  </si>
  <si>
    <t>state local (quarterly proportion)</t>
  </si>
  <si>
    <t>state local  (annual proportion)</t>
  </si>
  <si>
    <t>state local (annual percent)</t>
  </si>
  <si>
    <t>Year</t>
  </si>
  <si>
    <t>RESULT</t>
  </si>
  <si>
    <t>As reported in FIM</t>
  </si>
  <si>
    <t>Geometrically averaging quarterly annualized S&amp;L FIM values</t>
  </si>
  <si>
    <t>S&amp;L FIM, Annual Percent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</si>
</sst>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color theme="1"/>
      <name val="Courier New"/>
      <family val="3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9">
    <xf numFmtId="0" fontId="0" fillId="0" borderId="0" xfId="0"/>
    <xf numFmtId="0" fontId="0" fillId="0" borderId="0" xfId="0" applyAlignment="1">
      <alignment wrapText="1"/>
    </xf>
    <xf numFmtId="0" fontId="18" fillId="0" borderId="0" xfId="0" applyFont="1"/>
    <xf numFmtId="0" fontId="0" fillId="0" borderId="11" xfId="0" applyBorder="1"/>
    <xf numFmtId="0" fontId="0" fillId="0" borderId="13" xfId="0" applyBorder="1"/>
    <xf numFmtId="0" fontId="0" fillId="34" borderId="10" xfId="0" applyFill="1" applyBorder="1"/>
    <xf numFmtId="0" fontId="0" fillId="34" borderId="10" xfId="0" applyFill="1" applyBorder="1" applyAlignment="1">
      <alignment wrapText="1"/>
    </xf>
    <xf numFmtId="0" fontId="0" fillId="35" borderId="10" xfId="0" applyFill="1" applyBorder="1"/>
    <xf numFmtId="0" fontId="0" fillId="35" borderId="10" xfId="0" applyFill="1" applyBorder="1" applyAlignment="1">
      <alignment wrapText="1"/>
    </xf>
    <xf numFmtId="0" fontId="0" fillId="0" borderId="12" xfId="0" applyBorder="1"/>
    <xf numFmtId="0" fontId="0" fillId="0" borderId="15" xfId="0" applyBorder="1"/>
    <xf numFmtId="0" fontId="0" fillId="0" borderId="14" xfId="0" applyBorder="1"/>
    <xf numFmtId="0" fontId="0" fillId="0" borderId="15" xfId="0" applyBorder="1" applyAlignment="1">
      <alignment wrapText="1"/>
    </xf>
    <xf numFmtId="0" fontId="0" fillId="36" borderId="16" xfId="0" applyFill="1" applyBorder="1"/>
    <xf numFmtId="0" fontId="0" fillId="36" borderId="17" xfId="0" applyFill="1" applyBorder="1" applyAlignment="1">
      <alignment wrapText="1"/>
    </xf>
    <xf numFmtId="0" fontId="0" fillId="36" borderId="17" xfId="0" applyFill="1" applyBorder="1"/>
    <xf numFmtId="0" fontId="0" fillId="36" borderId="18" xfId="0" applyFill="1" applyBorder="1"/>
    <xf numFmtId="0" fontId="0" fillId="37" borderId="16" xfId="0" applyFill="1" applyBorder="1"/>
    <xf numFmtId="0" fontId="0" fillId="37" borderId="18" xfId="0" applyFill="1" applyBorder="1"/>
    <xf numFmtId="0" fontId="0" fillId="33" borderId="19" xfId="0" applyFill="1" applyBorder="1"/>
    <xf numFmtId="0" fontId="0" fillId="33" borderId="20" xfId="0" applyFill="1" applyBorder="1"/>
    <xf numFmtId="0" fontId="0" fillId="33" borderId="21" xfId="0" applyFill="1" applyBorder="1"/>
    <xf numFmtId="11" fontId="0" fillId="0" borderId="0" xfId="0" applyNumberFormat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9" xfId="0" applyBorder="1" applyAlignment="1">
      <alignment wrapText="1"/>
    </xf>
    <xf numFmtId="0" fontId="0" fillId="0" borderId="20" xfId="0" applyBorder="1" applyAlignment="1">
      <alignment wrapText="1"/>
    </xf>
    <xf numFmtId="0" fontId="0" fillId="0" borderId="21" xfId="0" applyBorder="1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107"/>
  <sheetViews>
    <sheetView tabSelected="1" topLeftCell="F1" zoomScale="117" workbookViewId="0">
      <selection activeCell="L10" sqref="L10"/>
    </sheetView>
  </sheetViews>
  <sheetFormatPr defaultRowHeight="15" x14ac:dyDescent="0.25"/>
  <cols>
    <col min="9" max="9" width="9.7109375" customWidth="1"/>
    <col min="11" max="11" width="16.140625" customWidth="1"/>
    <col min="12" max="12" width="15.28515625" style="1" customWidth="1"/>
    <col min="13" max="13" width="14.85546875" customWidth="1"/>
    <col min="14" max="14" width="16.7109375" customWidth="1"/>
    <col min="17" max="17" width="12.5703125" bestFit="1" customWidth="1"/>
  </cols>
  <sheetData>
    <row r="1" spans="1:18" x14ac:dyDescent="0.25">
      <c r="A1" s="19" t="s">
        <v>19</v>
      </c>
      <c r="B1" s="20"/>
      <c r="C1" s="20"/>
      <c r="D1" s="20"/>
      <c r="E1" s="20"/>
      <c r="F1" s="20"/>
      <c r="G1" s="20"/>
      <c r="H1" s="20"/>
      <c r="I1" s="21"/>
      <c r="K1" s="13" t="s">
        <v>20</v>
      </c>
      <c r="L1" s="14"/>
      <c r="M1" s="15"/>
      <c r="N1" s="16"/>
      <c r="P1" s="17" t="s">
        <v>18</v>
      </c>
      <c r="Q1" s="18"/>
    </row>
    <row r="2" spans="1:18" ht="45" x14ac:dyDescent="0.25">
      <c r="A2" s="23" t="s">
        <v>0</v>
      </c>
      <c r="B2" s="24" t="s">
        <v>1</v>
      </c>
      <c r="C2" s="24" t="s">
        <v>2</v>
      </c>
      <c r="D2" s="24" t="s">
        <v>3</v>
      </c>
      <c r="E2" s="24" t="s">
        <v>4</v>
      </c>
      <c r="F2" s="24" t="s">
        <v>5</v>
      </c>
      <c r="G2" s="24" t="s">
        <v>6</v>
      </c>
      <c r="H2" s="24" t="s">
        <v>7</v>
      </c>
      <c r="I2" s="25" t="s">
        <v>8</v>
      </c>
      <c r="K2" s="26" t="s">
        <v>15</v>
      </c>
      <c r="L2" s="27" t="s">
        <v>14</v>
      </c>
      <c r="M2" s="27" t="s">
        <v>13</v>
      </c>
      <c r="N2" s="28" t="s">
        <v>16</v>
      </c>
      <c r="O2" s="1"/>
      <c r="P2" s="7" t="s">
        <v>17</v>
      </c>
      <c r="Q2" s="8" t="s">
        <v>21</v>
      </c>
    </row>
    <row r="3" spans="1:18" x14ac:dyDescent="0.25">
      <c r="A3" s="3">
        <v>1999</v>
      </c>
      <c r="B3" t="s">
        <v>9</v>
      </c>
      <c r="C3">
        <v>-0.54887222400000002</v>
      </c>
      <c r="D3">
        <v>0</v>
      </c>
      <c r="E3">
        <v>-0.17971311600000001</v>
      </c>
      <c r="F3">
        <v>0.17008246799999999</v>
      </c>
      <c r="G3">
        <v>7.1936295999999997E-2</v>
      </c>
      <c r="H3">
        <v>-0.42173188</v>
      </c>
      <c r="I3" s="9">
        <v>0</v>
      </c>
      <c r="K3" s="3">
        <f t="shared" ref="K3:K34" si="0">1+(G3/100)</f>
        <v>1.00071936296</v>
      </c>
      <c r="L3" s="1">
        <f>K3^(1/4)</f>
        <v>1.0001797922463103</v>
      </c>
      <c r="N3" s="9"/>
      <c r="P3" s="5">
        <v>2000</v>
      </c>
      <c r="Q3" s="6" cm="1">
        <f t="array" ref="Q3">INDEX($N$3:$N$106, MATCH(P3 &amp; "Q4", $A$3:$A$106 &amp; $B$3:$B$106, 0))</f>
        <v>-0.25899172780428081</v>
      </c>
      <c r="R3" s="2"/>
    </row>
    <row r="4" spans="1:18" x14ac:dyDescent="0.25">
      <c r="A4" s="3">
        <v>2000</v>
      </c>
      <c r="B4" t="s">
        <v>10</v>
      </c>
      <c r="C4">
        <v>-0.86469975099999996</v>
      </c>
      <c r="D4">
        <v>0</v>
      </c>
      <c r="E4">
        <v>-1.9866431309999999</v>
      </c>
      <c r="F4">
        <v>-1.351738039</v>
      </c>
      <c r="G4">
        <v>-1.1757825E-2</v>
      </c>
      <c r="H4">
        <v>-0.623147267</v>
      </c>
      <c r="I4" s="9">
        <v>0</v>
      </c>
      <c r="K4" s="3">
        <f t="shared" si="0"/>
        <v>0.99988242174999997</v>
      </c>
      <c r="L4" s="1">
        <f t="shared" ref="L4:L67" si="1">K4^(1/4)</f>
        <v>0.99997060414135064</v>
      </c>
      <c r="N4" s="9"/>
      <c r="P4" s="5">
        <v>2001</v>
      </c>
      <c r="Q4" s="6" cm="1">
        <f t="array" ref="Q4">INDEX($N$3:$N$106, MATCH(P4 &amp; "Q4", $A$3:$A$106 &amp; $B$3:$B$106, 0))</f>
        <v>0.15944222625610127</v>
      </c>
    </row>
    <row r="5" spans="1:18" x14ac:dyDescent="0.25">
      <c r="A5" s="3">
        <v>2000</v>
      </c>
      <c r="B5" t="s">
        <v>11</v>
      </c>
      <c r="C5">
        <v>-0.70409037299999999</v>
      </c>
      <c r="D5">
        <v>0</v>
      </c>
      <c r="E5">
        <v>-0.325308557</v>
      </c>
      <c r="F5">
        <v>0.46923226699999998</v>
      </c>
      <c r="G5">
        <v>-0.52493124800000002</v>
      </c>
      <c r="H5">
        <v>-0.26960957600000002</v>
      </c>
      <c r="I5" s="9">
        <v>0</v>
      </c>
      <c r="K5" s="3">
        <f t="shared" si="0"/>
        <v>0.99475068751999995</v>
      </c>
      <c r="L5" s="1">
        <f t="shared" si="1"/>
        <v>0.99868508063335404</v>
      </c>
      <c r="N5" s="9"/>
      <c r="P5" s="5">
        <v>2002</v>
      </c>
      <c r="Q5" s="6" cm="1">
        <f t="array" ref="Q5">INDEX($N$3:$N$106, MATCH(P5 &amp; "Q4", $A$3:$A$106 &amp; $B$3:$B$106, 0))</f>
        <v>-0.21816300060550908</v>
      </c>
    </row>
    <row r="6" spans="1:18" x14ac:dyDescent="0.25">
      <c r="A6" s="3">
        <v>2000</v>
      </c>
      <c r="B6" t="s">
        <v>12</v>
      </c>
      <c r="C6">
        <v>-0.88803668700000005</v>
      </c>
      <c r="D6">
        <v>0</v>
      </c>
      <c r="E6">
        <v>-1.0604819459999999</v>
      </c>
      <c r="F6">
        <v>-0.73022095899999995</v>
      </c>
      <c r="G6">
        <v>-0.24994417999999999</v>
      </c>
      <c r="H6">
        <v>-8.0316807000000004E-2</v>
      </c>
      <c r="I6" s="9">
        <v>0</v>
      </c>
      <c r="K6" s="3">
        <f t="shared" si="0"/>
        <v>0.99750055820000005</v>
      </c>
      <c r="L6" s="1">
        <f t="shared" si="1"/>
        <v>0.99937455301873701</v>
      </c>
      <c r="M6">
        <f>L6*L5*L4*L3</f>
        <v>0.99821055547680215</v>
      </c>
      <c r="N6" s="9">
        <f>(M6-1)*100</f>
        <v>-0.17894445231978473</v>
      </c>
      <c r="P6" s="5">
        <v>2003</v>
      </c>
      <c r="Q6" s="6" cm="1">
        <f t="array" ref="Q6">INDEX($N$3:$N$106, MATCH(P6 &amp; "Q4", $A$3:$A$106 &amp; $B$3:$B$106, 0))</f>
        <v>-0.50771793764903261</v>
      </c>
    </row>
    <row r="7" spans="1:18" x14ac:dyDescent="0.25">
      <c r="A7" s="3">
        <v>2000</v>
      </c>
      <c r="B7" t="s">
        <v>9</v>
      </c>
      <c r="C7">
        <v>-0.87549748100000002</v>
      </c>
      <c r="D7">
        <v>0</v>
      </c>
      <c r="E7">
        <v>-0.12955629099999999</v>
      </c>
      <c r="F7">
        <v>7.4112708999999999E-2</v>
      </c>
      <c r="G7">
        <v>-0.248671634</v>
      </c>
      <c r="H7">
        <v>4.5002634E-2</v>
      </c>
      <c r="I7" s="9">
        <v>0</v>
      </c>
      <c r="K7" s="3">
        <f t="shared" si="0"/>
        <v>0.99751328366000003</v>
      </c>
      <c r="L7" s="1">
        <f t="shared" si="1"/>
        <v>0.99937774034528903</v>
      </c>
      <c r="M7">
        <f t="shared" ref="M7:M70" si="2">L7*L6*L5*L4</f>
        <v>0.99741008272195719</v>
      </c>
      <c r="N7" s="9">
        <f t="shared" ref="N7:N70" si="3">(M7-1)*100</f>
        <v>-0.25899172780428081</v>
      </c>
      <c r="P7" s="5">
        <v>2004</v>
      </c>
      <c r="Q7" s="6" cm="1">
        <f t="array" ref="Q7">INDEX($N$3:$N$106, MATCH(P7 &amp; "Q4", $A$3:$A$106 &amp; $B$3:$B$106, 0))</f>
        <v>-0.16221940874859841</v>
      </c>
    </row>
    <row r="8" spans="1:18" x14ac:dyDescent="0.25">
      <c r="A8" s="3">
        <v>2001</v>
      </c>
      <c r="B8" t="s">
        <v>10</v>
      </c>
      <c r="C8">
        <v>-0.173834143</v>
      </c>
      <c r="D8">
        <v>1</v>
      </c>
      <c r="E8">
        <v>0.82001022099999998</v>
      </c>
      <c r="F8">
        <v>0.46370292499999999</v>
      </c>
      <c r="G8">
        <v>8.7293958000000005E-2</v>
      </c>
      <c r="H8">
        <v>0.26901333700000002</v>
      </c>
      <c r="I8" s="9">
        <v>0</v>
      </c>
      <c r="K8" s="3">
        <f t="shared" si="0"/>
        <v>1.00087293958</v>
      </c>
      <c r="L8" s="1">
        <f t="shared" si="1"/>
        <v>1.0002181634916523</v>
      </c>
      <c r="M8">
        <f t="shared" si="2"/>
        <v>0.99765700817260572</v>
      </c>
      <c r="N8" s="9">
        <f t="shared" si="3"/>
        <v>-0.23429918273942807</v>
      </c>
      <c r="P8" s="5">
        <v>2005</v>
      </c>
      <c r="Q8" s="6" cm="1">
        <f t="array" ref="Q8">INDEX($N$3:$N$106, MATCH(P8 &amp; "Q4", $A$3:$A$106 &amp; $B$3:$B$106, 0))</f>
        <v>-0.15398313191875568</v>
      </c>
    </row>
    <row r="9" spans="1:18" x14ac:dyDescent="0.25">
      <c r="A9" s="3">
        <v>2001</v>
      </c>
      <c r="B9" t="s">
        <v>11</v>
      </c>
      <c r="C9">
        <v>0.186679769</v>
      </c>
      <c r="D9">
        <v>1</v>
      </c>
      <c r="E9">
        <v>1.1167470939999999</v>
      </c>
      <c r="F9">
        <v>0.41132128299999998</v>
      </c>
      <c r="G9">
        <v>0.29826387300000001</v>
      </c>
      <c r="H9">
        <v>0.407161938</v>
      </c>
      <c r="I9" s="9">
        <v>0</v>
      </c>
      <c r="K9" s="3">
        <f t="shared" si="0"/>
        <v>1.00298263873</v>
      </c>
      <c r="L9" s="1">
        <f t="shared" si="1"/>
        <v>1.0007448271180635</v>
      </c>
      <c r="M9">
        <f t="shared" si="2"/>
        <v>0.99971463430058005</v>
      </c>
      <c r="N9" s="9">
        <f t="shared" si="3"/>
        <v>-2.8536569941994827E-2</v>
      </c>
      <c r="P9" s="5">
        <v>2006</v>
      </c>
      <c r="Q9" s="6" cm="1">
        <f t="array" ref="Q9">INDEX($N$3:$N$106, MATCH(P9 &amp; "Q4", $A$3:$A$106 &amp; $B$3:$B$106, 0))</f>
        <v>4.6035453798110026E-2</v>
      </c>
    </row>
    <row r="10" spans="1:18" x14ac:dyDescent="0.25">
      <c r="A10" s="3">
        <v>2001</v>
      </c>
      <c r="B10" t="s">
        <v>12</v>
      </c>
      <c r="C10">
        <v>0.67125386300000001</v>
      </c>
      <c r="D10">
        <v>1</v>
      </c>
      <c r="E10">
        <v>0.87781443000000003</v>
      </c>
      <c r="F10">
        <v>-0.29957416199999998</v>
      </c>
      <c r="G10">
        <v>-0.30974781099999998</v>
      </c>
      <c r="H10">
        <v>1.4871364030000001</v>
      </c>
      <c r="I10" s="9">
        <v>0</v>
      </c>
      <c r="K10" s="3">
        <f t="shared" si="0"/>
        <v>0.99690252188999995</v>
      </c>
      <c r="L10" s="1">
        <f t="shared" si="1"/>
        <v>0.99922472937156093</v>
      </c>
      <c r="M10">
        <f t="shared" si="2"/>
        <v>0.99956475966929825</v>
      </c>
      <c r="N10" s="9">
        <f t="shared" si="3"/>
        <v>-4.3524033070174717E-2</v>
      </c>
      <c r="P10" s="5">
        <v>2007</v>
      </c>
      <c r="Q10" s="6" cm="1">
        <f t="array" ref="Q10">INDEX($N$3:$N$106, MATCH(P10 &amp; "Q4", $A$3:$A$106 &amp; $B$3:$B$106, 0))</f>
        <v>2.6228937134220587E-3</v>
      </c>
    </row>
    <row r="11" spans="1:18" x14ac:dyDescent="0.25">
      <c r="A11" s="3">
        <v>2001</v>
      </c>
      <c r="B11" t="s">
        <v>9</v>
      </c>
      <c r="C11">
        <v>1.1971735240000001</v>
      </c>
      <c r="D11">
        <v>1</v>
      </c>
      <c r="E11">
        <v>1.974122352</v>
      </c>
      <c r="F11">
        <v>0.140328657</v>
      </c>
      <c r="G11">
        <v>0.56399821800000005</v>
      </c>
      <c r="H11">
        <v>1.269795477</v>
      </c>
      <c r="I11" s="9">
        <v>0</v>
      </c>
      <c r="K11" s="3">
        <f t="shared" si="0"/>
        <v>1.0056399821799999</v>
      </c>
      <c r="L11" s="1">
        <f t="shared" si="1"/>
        <v>1.0014070231871426</v>
      </c>
      <c r="M11">
        <f t="shared" si="2"/>
        <v>1.001594422262561</v>
      </c>
      <c r="N11" s="9">
        <f t="shared" si="3"/>
        <v>0.15944222625610127</v>
      </c>
      <c r="P11" s="5">
        <v>2008</v>
      </c>
      <c r="Q11" s="6" cm="1">
        <f t="array" ref="Q11">INDEX($N$3:$N$106, MATCH(P11 &amp; "Q4", $A$3:$A$106 &amp; $B$3:$B$106, 0))</f>
        <v>-0.17534481012080327</v>
      </c>
    </row>
    <row r="12" spans="1:18" x14ac:dyDescent="0.25">
      <c r="A12" s="3">
        <v>2002</v>
      </c>
      <c r="B12" t="s">
        <v>10</v>
      </c>
      <c r="C12">
        <v>1.573383939</v>
      </c>
      <c r="D12">
        <v>0</v>
      </c>
      <c r="E12">
        <v>2.3248518790000001</v>
      </c>
      <c r="F12">
        <v>1.061034652</v>
      </c>
      <c r="G12">
        <v>-0.26906065400000001</v>
      </c>
      <c r="H12">
        <v>1.532877882</v>
      </c>
      <c r="I12" s="9">
        <v>0</v>
      </c>
      <c r="K12" s="3">
        <f t="shared" si="0"/>
        <v>0.99730939346000003</v>
      </c>
      <c r="L12" s="1">
        <f t="shared" si="1"/>
        <v>0.9993266686074741</v>
      </c>
      <c r="M12">
        <f t="shared" si="2"/>
        <v>1.0007017007183416</v>
      </c>
      <c r="N12" s="9">
        <f t="shared" si="3"/>
        <v>7.0170071834163572E-2</v>
      </c>
      <c r="P12" s="5">
        <v>2009</v>
      </c>
      <c r="Q12" s="6" cm="1">
        <f t="array" ref="Q12">INDEX($N$3:$N$106, MATCH(P12 &amp; "Q4", $A$3:$A$106 &amp; $B$3:$B$106, 0))</f>
        <v>-0.37528479186996755</v>
      </c>
    </row>
    <row r="13" spans="1:18" x14ac:dyDescent="0.25">
      <c r="A13" s="3">
        <v>2002</v>
      </c>
      <c r="B13" t="s">
        <v>11</v>
      </c>
      <c r="C13">
        <v>1.7744068550000001</v>
      </c>
      <c r="D13">
        <v>0</v>
      </c>
      <c r="E13">
        <v>1.920838759</v>
      </c>
      <c r="F13">
        <v>0.31716901600000003</v>
      </c>
      <c r="G13">
        <v>-0.26454530300000001</v>
      </c>
      <c r="H13">
        <v>1.868215046</v>
      </c>
      <c r="I13" s="9">
        <v>0</v>
      </c>
      <c r="K13" s="3">
        <f t="shared" si="0"/>
        <v>0.99735454697000003</v>
      </c>
      <c r="L13" s="1">
        <f t="shared" si="1"/>
        <v>0.99933797962613313</v>
      </c>
      <c r="M13">
        <f t="shared" si="2"/>
        <v>0.99929491385352187</v>
      </c>
      <c r="N13" s="9">
        <f t="shared" si="3"/>
        <v>-7.0508614647812884E-2</v>
      </c>
      <c r="P13" s="5">
        <v>2010</v>
      </c>
      <c r="Q13" s="6" cm="1">
        <f t="array" ref="Q13">INDEX($N$3:$N$106, MATCH(P13 &amp; "Q4", $A$3:$A$106 &amp; $B$3:$B$106, 0))</f>
        <v>-0.63599758840632292</v>
      </c>
    </row>
    <row r="14" spans="1:18" x14ac:dyDescent="0.25">
      <c r="A14" s="3">
        <v>2002</v>
      </c>
      <c r="B14" t="s">
        <v>12</v>
      </c>
      <c r="C14">
        <v>1.9055093169999999</v>
      </c>
      <c r="D14">
        <v>0</v>
      </c>
      <c r="E14">
        <v>1.402224278</v>
      </c>
      <c r="F14">
        <v>-9.0108113000000004E-2</v>
      </c>
      <c r="G14">
        <v>-4.8755488999999999E-2</v>
      </c>
      <c r="H14">
        <v>1.5410878800000001</v>
      </c>
      <c r="I14" s="9">
        <v>0</v>
      </c>
      <c r="K14" s="3">
        <f t="shared" si="0"/>
        <v>0.99951244511000004</v>
      </c>
      <c r="L14" s="1">
        <f t="shared" si="1"/>
        <v>0.99987808898586883</v>
      </c>
      <c r="M14">
        <f t="shared" si="2"/>
        <v>0.99994831935911399</v>
      </c>
      <c r="N14" s="9">
        <f t="shared" si="3"/>
        <v>-5.1680640886009321E-3</v>
      </c>
      <c r="P14" s="5">
        <v>2011</v>
      </c>
      <c r="Q14" s="6" cm="1">
        <f t="array" ref="Q14">INDEX($N$3:$N$106, MATCH(P14 &amp; "Q4", $A$3:$A$106 &amp; $B$3:$B$106, 0))</f>
        <v>-0.38770989583046811</v>
      </c>
    </row>
    <row r="15" spans="1:18" x14ac:dyDescent="0.25">
      <c r="A15" s="3">
        <v>2002</v>
      </c>
      <c r="B15" t="s">
        <v>9</v>
      </c>
      <c r="C15">
        <v>1.695194077</v>
      </c>
      <c r="D15">
        <v>0</v>
      </c>
      <c r="E15">
        <v>1.1328613910000001</v>
      </c>
      <c r="F15">
        <v>0.33663863799999999</v>
      </c>
      <c r="G15">
        <v>-0.2900972</v>
      </c>
      <c r="H15">
        <v>1.0863199539999999</v>
      </c>
      <c r="I15" s="9">
        <v>0</v>
      </c>
      <c r="K15" s="3">
        <f t="shared" si="0"/>
        <v>0.99709902800000005</v>
      </c>
      <c r="L15" s="1">
        <f t="shared" si="1"/>
        <v>0.9992739666961028</v>
      </c>
      <c r="M15">
        <f t="shared" si="2"/>
        <v>0.99781836999394491</v>
      </c>
      <c r="N15" s="9">
        <f t="shared" si="3"/>
        <v>-0.21816300060550908</v>
      </c>
      <c r="P15" s="5">
        <v>2012</v>
      </c>
      <c r="Q15" s="6" cm="1">
        <f t="array" ref="Q15">INDEX($N$3:$N$106, MATCH(P15 &amp; "Q4", $A$3:$A$106 &amp; $B$3:$B$106, 0))</f>
        <v>-0.24315057503651039</v>
      </c>
    </row>
    <row r="16" spans="1:18" x14ac:dyDescent="0.25">
      <c r="A16" s="3">
        <v>2003</v>
      </c>
      <c r="B16" t="s">
        <v>10</v>
      </c>
      <c r="C16">
        <v>1.2850136320000001</v>
      </c>
      <c r="D16">
        <v>0</v>
      </c>
      <c r="E16">
        <v>0.68413010200000002</v>
      </c>
      <c r="F16">
        <v>6.2662919999999997E-2</v>
      </c>
      <c r="G16">
        <v>-0.49612979400000001</v>
      </c>
      <c r="H16">
        <v>1.117596977</v>
      </c>
      <c r="I16" s="9">
        <v>0</v>
      </c>
      <c r="K16" s="3">
        <f t="shared" si="0"/>
        <v>0.99503870206</v>
      </c>
      <c r="L16" s="1">
        <f t="shared" si="1"/>
        <v>0.9987573612064693</v>
      </c>
      <c r="M16">
        <f t="shared" si="2"/>
        <v>0.99724992185707328</v>
      </c>
      <c r="N16" s="9">
        <f t="shared" si="3"/>
        <v>-0.27500781429267152</v>
      </c>
      <c r="P16" s="5">
        <v>2013</v>
      </c>
      <c r="Q16" s="6" cm="1">
        <f t="array" ref="Q16">INDEX($N$3:$N$106, MATCH(P16 &amp; "Q4", $A$3:$A$106 &amp; $B$3:$B$106, 0))</f>
        <v>-3.7211577400053653E-2</v>
      </c>
    </row>
    <row r="17" spans="1:17" x14ac:dyDescent="0.25">
      <c r="A17" s="3">
        <v>2003</v>
      </c>
      <c r="B17" t="s">
        <v>11</v>
      </c>
      <c r="C17">
        <v>1.151009328</v>
      </c>
      <c r="D17">
        <v>0</v>
      </c>
      <c r="E17">
        <v>1.384821541</v>
      </c>
      <c r="F17">
        <v>1.6871324009999999</v>
      </c>
      <c r="G17">
        <v>-1.4419460120000001</v>
      </c>
      <c r="H17">
        <v>1.139635151</v>
      </c>
      <c r="I17" s="9">
        <v>0</v>
      </c>
      <c r="K17" s="3">
        <f t="shared" si="0"/>
        <v>0.98558053988000005</v>
      </c>
      <c r="L17" s="1">
        <f t="shared" si="1"/>
        <v>0.99637547679007699</v>
      </c>
      <c r="M17">
        <f t="shared" si="2"/>
        <v>0.9942936089959693</v>
      </c>
      <c r="N17" s="9">
        <f t="shared" si="3"/>
        <v>-0.57063910040306975</v>
      </c>
      <c r="P17" s="5">
        <v>2014</v>
      </c>
      <c r="Q17" s="6" cm="1">
        <f t="array" ref="Q17">INDEX($N$3:$N$106, MATCH(P17 &amp; "Q4", $A$3:$A$106 &amp; $B$3:$B$106, 0))</f>
        <v>8.3652307423687233E-3</v>
      </c>
    </row>
    <row r="18" spans="1:17" x14ac:dyDescent="0.25">
      <c r="A18" s="3">
        <v>2003</v>
      </c>
      <c r="B18" t="s">
        <v>12</v>
      </c>
      <c r="C18">
        <v>0.96108912999999996</v>
      </c>
      <c r="D18">
        <v>0</v>
      </c>
      <c r="E18">
        <v>0.642543486</v>
      </c>
      <c r="F18">
        <v>-0.697751444</v>
      </c>
      <c r="G18">
        <v>0.42967845500000001</v>
      </c>
      <c r="H18">
        <v>0.91061647499999998</v>
      </c>
      <c r="I18" s="9">
        <v>0</v>
      </c>
      <c r="K18" s="3">
        <f t="shared" si="0"/>
        <v>1.0042967845499999</v>
      </c>
      <c r="L18" s="1">
        <f t="shared" si="1"/>
        <v>1.0010724696170052</v>
      </c>
      <c r="M18">
        <f t="shared" si="2"/>
        <v>0.99548131881912594</v>
      </c>
      <c r="N18" s="9">
        <f t="shared" si="3"/>
        <v>-0.45186811808740623</v>
      </c>
      <c r="P18" s="5">
        <v>2015</v>
      </c>
      <c r="Q18" s="6" cm="1">
        <f t="array" ref="Q18">INDEX($N$3:$N$106, MATCH(P18 &amp; "Q4", $A$3:$A$106 &amp; $B$3:$B$106, 0))</f>
        <v>9.7360333982776659E-2</v>
      </c>
    </row>
    <row r="19" spans="1:17" x14ac:dyDescent="0.25">
      <c r="A19" s="3">
        <v>2003</v>
      </c>
      <c r="B19" t="s">
        <v>9</v>
      </c>
      <c r="C19">
        <v>0.85537349900000004</v>
      </c>
      <c r="D19">
        <v>0</v>
      </c>
      <c r="E19">
        <v>0.70999886800000001</v>
      </c>
      <c r="F19">
        <v>0.53888468899999997</v>
      </c>
      <c r="G19">
        <v>-0.51367127700000004</v>
      </c>
      <c r="H19">
        <v>0.68478545599999996</v>
      </c>
      <c r="I19" s="9">
        <v>0</v>
      </c>
      <c r="K19" s="3">
        <f t="shared" si="0"/>
        <v>0.99486328722999995</v>
      </c>
      <c r="L19" s="1">
        <f t="shared" si="1"/>
        <v>0.99871334069863249</v>
      </c>
      <c r="M19">
        <f t="shared" si="2"/>
        <v>0.99492282062350967</v>
      </c>
      <c r="N19" s="9">
        <f t="shared" si="3"/>
        <v>-0.50771793764903261</v>
      </c>
      <c r="P19" s="5">
        <v>2016</v>
      </c>
      <c r="Q19" s="6" cm="1">
        <f t="array" ref="Q19">INDEX($N$3:$N$106, MATCH(P19 &amp; "Q4", $A$3:$A$106 &amp; $B$3:$B$106, 0))</f>
        <v>6.7241778136617469E-2</v>
      </c>
    </row>
    <row r="20" spans="1:17" x14ac:dyDescent="0.25">
      <c r="A20" s="3">
        <v>2004</v>
      </c>
      <c r="B20" t="s">
        <v>10</v>
      </c>
      <c r="C20">
        <v>0.72455059300000002</v>
      </c>
      <c r="D20">
        <v>0</v>
      </c>
      <c r="E20">
        <v>0.16083847700000001</v>
      </c>
      <c r="F20">
        <v>-0.37214829799999999</v>
      </c>
      <c r="G20">
        <v>0.27496779999999998</v>
      </c>
      <c r="H20">
        <v>0.25801897499999998</v>
      </c>
      <c r="I20" s="9">
        <v>0</v>
      </c>
      <c r="K20" s="3">
        <f t="shared" si="0"/>
        <v>1.002749678</v>
      </c>
      <c r="L20" s="1">
        <f t="shared" si="1"/>
        <v>1.0006867118164313</v>
      </c>
      <c r="M20">
        <f t="shared" si="2"/>
        <v>0.99684476385556386</v>
      </c>
      <c r="N20" s="9">
        <f t="shared" si="3"/>
        <v>-0.31552361444361354</v>
      </c>
      <c r="P20" s="5">
        <v>2017</v>
      </c>
      <c r="Q20" s="6" cm="1">
        <f t="array" ref="Q20">INDEX($N$3:$N$106, MATCH(P20 &amp; "Q4", $A$3:$A$106 &amp; $B$3:$B$106, 0))</f>
        <v>-7.3333087678451037E-2</v>
      </c>
    </row>
    <row r="21" spans="1:17" x14ac:dyDescent="0.25">
      <c r="A21" s="3">
        <v>2004</v>
      </c>
      <c r="B21" t="s">
        <v>11</v>
      </c>
      <c r="C21">
        <v>0.366398</v>
      </c>
      <c r="D21">
        <v>0</v>
      </c>
      <c r="E21">
        <v>-4.7788833000000003E-2</v>
      </c>
      <c r="F21">
        <v>-0.26046525799999998</v>
      </c>
      <c r="G21">
        <v>-3.5543720000000001E-3</v>
      </c>
      <c r="H21">
        <v>0.216230797</v>
      </c>
      <c r="I21" s="9">
        <v>0</v>
      </c>
      <c r="K21" s="3">
        <f t="shared" si="0"/>
        <v>0.99996445627999997</v>
      </c>
      <c r="L21" s="1">
        <f t="shared" si="1"/>
        <v>0.99999111395155793</v>
      </c>
      <c r="M21">
        <f t="shared" si="2"/>
        <v>1.0004621039611588</v>
      </c>
      <c r="N21" s="9">
        <f t="shared" si="3"/>
        <v>4.6210396115875518E-2</v>
      </c>
      <c r="P21" s="5">
        <v>2018</v>
      </c>
      <c r="Q21" s="6" cm="1">
        <f t="array" ref="Q21">INDEX($N$3:$N$106, MATCH(P21 &amp; "Q4", $A$3:$A$106 &amp; $B$3:$B$106, 0))</f>
        <v>-8.0587807981324922E-2</v>
      </c>
    </row>
    <row r="22" spans="1:17" x14ac:dyDescent="0.25">
      <c r="A22" s="3">
        <v>2004</v>
      </c>
      <c r="B22" t="s">
        <v>12</v>
      </c>
      <c r="C22">
        <v>0.106244512</v>
      </c>
      <c r="D22">
        <v>0</v>
      </c>
      <c r="E22">
        <v>-0.39807046299999999</v>
      </c>
      <c r="F22">
        <v>0.35586793900000002</v>
      </c>
      <c r="G22">
        <v>-0.70433593400000005</v>
      </c>
      <c r="H22">
        <v>-4.9602467999999997E-2</v>
      </c>
      <c r="I22" s="9">
        <v>0</v>
      </c>
      <c r="K22" s="3">
        <f t="shared" si="0"/>
        <v>0.99295664066</v>
      </c>
      <c r="L22" s="1">
        <f t="shared" si="1"/>
        <v>0.99823449012804766</v>
      </c>
      <c r="M22">
        <f t="shared" si="2"/>
        <v>0.99762585482166588</v>
      </c>
      <c r="N22" s="9">
        <f t="shared" si="3"/>
        <v>-0.23741451783341194</v>
      </c>
      <c r="P22" s="5">
        <v>2019</v>
      </c>
      <c r="Q22" s="6" cm="1">
        <f t="array" ref="Q22">INDEX($N$3:$N$106, MATCH(P22 &amp; "Q4", $A$3:$A$106 &amp; $B$3:$B$106, 0))</f>
        <v>0.32273253205121755</v>
      </c>
    </row>
    <row r="23" spans="1:17" x14ac:dyDescent="0.25">
      <c r="A23" s="3">
        <v>2004</v>
      </c>
      <c r="B23" t="s">
        <v>9</v>
      </c>
      <c r="C23">
        <v>-0.227461362</v>
      </c>
      <c r="D23">
        <v>0</v>
      </c>
      <c r="E23">
        <v>-0.62482463099999996</v>
      </c>
      <c r="F23">
        <v>-0.338406068</v>
      </c>
      <c r="G23">
        <v>-0.21338445</v>
      </c>
      <c r="H23">
        <v>-7.3034111999999998E-2</v>
      </c>
      <c r="I23" s="9">
        <v>0</v>
      </c>
      <c r="K23" s="3">
        <f t="shared" si="0"/>
        <v>0.99786615550000002</v>
      </c>
      <c r="L23" s="1">
        <f t="shared" si="1"/>
        <v>0.99946611147171671</v>
      </c>
      <c r="M23">
        <f t="shared" si="2"/>
        <v>0.99837780591251402</v>
      </c>
      <c r="N23" s="9">
        <f t="shared" si="3"/>
        <v>-0.16221940874859841</v>
      </c>
      <c r="P23" s="5">
        <v>2020</v>
      </c>
      <c r="Q23" s="6" cm="1">
        <f t="array" ref="Q23">INDEX($N$3:$N$106, MATCH(P23 &amp; "Q4", $A$3:$A$106 &amp; $B$3:$B$106, 0))</f>
        <v>-0.61595026771987804</v>
      </c>
    </row>
    <row r="24" spans="1:17" x14ac:dyDescent="0.25">
      <c r="A24" s="3">
        <v>2005</v>
      </c>
      <c r="B24" t="s">
        <v>10</v>
      </c>
      <c r="C24">
        <v>-0.42102832699999998</v>
      </c>
      <c r="D24">
        <v>0</v>
      </c>
      <c r="E24">
        <v>-0.61342938000000002</v>
      </c>
      <c r="F24">
        <v>3.8955440000000001E-2</v>
      </c>
      <c r="G24">
        <v>-0.142789271</v>
      </c>
      <c r="H24">
        <v>-0.50959554799999995</v>
      </c>
      <c r="I24" s="9">
        <v>0</v>
      </c>
      <c r="K24" s="3">
        <f t="shared" si="0"/>
        <v>0.99857210729000001</v>
      </c>
      <c r="L24" s="1">
        <f t="shared" si="1"/>
        <v>0.99964283551835775</v>
      </c>
      <c r="M24">
        <f t="shared" si="2"/>
        <v>0.9973363381726027</v>
      </c>
      <c r="N24" s="9">
        <f t="shared" si="3"/>
        <v>-0.26636618273973012</v>
      </c>
      <c r="P24" s="5">
        <v>2021</v>
      </c>
      <c r="Q24" s="6" cm="1">
        <f t="array" ref="Q24">INDEX($N$3:$N$106, MATCH(P24 &amp; "Q4", $A$3:$A$106 &amp; $B$3:$B$106, 0))</f>
        <v>-0.57330006083466944</v>
      </c>
    </row>
    <row r="25" spans="1:17" x14ac:dyDescent="0.25">
      <c r="A25" s="3">
        <v>2005</v>
      </c>
      <c r="B25" t="s">
        <v>11</v>
      </c>
      <c r="C25">
        <v>-0.66820486499999998</v>
      </c>
      <c r="D25">
        <v>0</v>
      </c>
      <c r="E25">
        <v>-1.036494984</v>
      </c>
      <c r="F25">
        <v>-0.25151264400000001</v>
      </c>
      <c r="G25">
        <v>-0.25149345000000001</v>
      </c>
      <c r="H25">
        <v>-0.53348888999999999</v>
      </c>
      <c r="I25" s="9">
        <v>0</v>
      </c>
      <c r="K25" s="3">
        <f t="shared" si="0"/>
        <v>0.99748506550000005</v>
      </c>
      <c r="L25" s="1">
        <f t="shared" si="1"/>
        <v>0.99937067254463874</v>
      </c>
      <c r="M25">
        <f t="shared" si="2"/>
        <v>0.99671754391313949</v>
      </c>
      <c r="N25" s="9">
        <f t="shared" si="3"/>
        <v>-0.32824560868605079</v>
      </c>
      <c r="P25" s="5">
        <v>2022</v>
      </c>
      <c r="Q25" s="6" cm="1">
        <f t="array" ref="Q25">INDEX($N$3:$N$106, MATCH(P25 &amp; "Q4", $A$3:$A$106 &amp; $B$3:$B$106, 0))</f>
        <v>-0.11382392090611981</v>
      </c>
    </row>
    <row r="26" spans="1:17" x14ac:dyDescent="0.25">
      <c r="A26" s="3">
        <v>2005</v>
      </c>
      <c r="B26" t="s">
        <v>12</v>
      </c>
      <c r="C26">
        <v>-0.756704716</v>
      </c>
      <c r="D26">
        <v>0</v>
      </c>
      <c r="E26">
        <v>-0.75206987000000003</v>
      </c>
      <c r="F26">
        <v>-8.8816554000000006E-2</v>
      </c>
      <c r="G26">
        <v>-0.108323481</v>
      </c>
      <c r="H26">
        <v>-0.55492983500000004</v>
      </c>
      <c r="I26" s="9">
        <v>0</v>
      </c>
      <c r="K26" s="3">
        <f t="shared" si="0"/>
        <v>0.99891676518999994</v>
      </c>
      <c r="L26" s="1">
        <f t="shared" si="1"/>
        <v>0.99972908122190673</v>
      </c>
      <c r="M26">
        <f t="shared" si="2"/>
        <v>0.99820986378282728</v>
      </c>
      <c r="N26" s="9">
        <f t="shared" si="3"/>
        <v>-0.1790136217172722</v>
      </c>
      <c r="P26" s="5">
        <v>2023</v>
      </c>
      <c r="Q26" s="6" cm="1">
        <f t="array" ref="Q26">INDEX($N$3:$N$106, MATCH(P26 &amp; "Q4", $A$3:$A$106 &amp; $B$3:$B$106, 0))</f>
        <v>0.51289293258145463</v>
      </c>
    </row>
    <row r="27" spans="1:17" x14ac:dyDescent="0.25">
      <c r="A27" s="3">
        <v>2005</v>
      </c>
      <c r="B27" t="s">
        <v>9</v>
      </c>
      <c r="C27">
        <v>-0.81348774000000001</v>
      </c>
      <c r="D27">
        <v>0</v>
      </c>
      <c r="E27">
        <v>-0.85195672499999997</v>
      </c>
      <c r="F27">
        <v>-0.25914290200000001</v>
      </c>
      <c r="G27">
        <v>-0.113259313</v>
      </c>
      <c r="H27">
        <v>-0.47955450999999999</v>
      </c>
      <c r="I27" s="9">
        <v>0</v>
      </c>
      <c r="K27" s="3">
        <f t="shared" si="0"/>
        <v>0.99886740686999997</v>
      </c>
      <c r="L27" s="1">
        <f t="shared" si="1"/>
        <v>0.99971673137856032</v>
      </c>
      <c r="M27">
        <f t="shared" si="2"/>
        <v>0.99846016868081244</v>
      </c>
      <c r="N27" s="9">
        <f t="shared" si="3"/>
        <v>-0.15398313191875568</v>
      </c>
      <c r="Q27" s="1"/>
    </row>
    <row r="28" spans="1:17" x14ac:dyDescent="0.25">
      <c r="A28" s="3">
        <v>2006</v>
      </c>
      <c r="B28" t="s">
        <v>10</v>
      </c>
      <c r="C28">
        <v>-0.68099785199999996</v>
      </c>
      <c r="D28">
        <v>0</v>
      </c>
      <c r="E28">
        <v>-8.3469827999999996E-2</v>
      </c>
      <c r="F28">
        <v>0.69852025699999998</v>
      </c>
      <c r="G28">
        <v>-0.163970959</v>
      </c>
      <c r="H28">
        <v>-0.618019125</v>
      </c>
      <c r="I28" s="9">
        <v>0</v>
      </c>
      <c r="K28" s="3">
        <f t="shared" si="0"/>
        <v>0.99836029040999996</v>
      </c>
      <c r="L28" s="1">
        <f t="shared" si="1"/>
        <v>0.99958982030042565</v>
      </c>
      <c r="M28">
        <f t="shared" si="2"/>
        <v>0.99840721618462236</v>
      </c>
      <c r="N28" s="9">
        <f t="shared" si="3"/>
        <v>-0.15927838153776408</v>
      </c>
      <c r="Q28" s="1"/>
    </row>
    <row r="29" spans="1:17" x14ac:dyDescent="0.25">
      <c r="A29" s="3">
        <v>2006</v>
      </c>
      <c r="B29" t="s">
        <v>11</v>
      </c>
      <c r="C29">
        <v>-0.70420055500000001</v>
      </c>
      <c r="D29">
        <v>0</v>
      </c>
      <c r="E29">
        <v>-1.129305797</v>
      </c>
      <c r="F29">
        <v>-0.49174314000000002</v>
      </c>
      <c r="G29">
        <v>2.6535699999999999E-2</v>
      </c>
      <c r="H29">
        <v>-0.66409835800000006</v>
      </c>
      <c r="I29" s="9">
        <v>0</v>
      </c>
      <c r="K29" s="3">
        <f t="shared" si="0"/>
        <v>1.000265357</v>
      </c>
      <c r="L29" s="1">
        <f t="shared" si="1"/>
        <v>1.0000663326496775</v>
      </c>
      <c r="M29">
        <f t="shared" si="2"/>
        <v>0.99910220562944374</v>
      </c>
      <c r="N29" s="9">
        <f t="shared" si="3"/>
        <v>-8.9779437055625966E-2</v>
      </c>
    </row>
    <row r="30" spans="1:17" x14ac:dyDescent="0.25">
      <c r="A30" s="3">
        <v>2006</v>
      </c>
      <c r="B30" t="s">
        <v>12</v>
      </c>
      <c r="C30">
        <v>-0.72428916600000004</v>
      </c>
      <c r="D30">
        <v>0</v>
      </c>
      <c r="E30">
        <v>-0.832424316</v>
      </c>
      <c r="F30">
        <v>-0.67334922100000005</v>
      </c>
      <c r="G30">
        <v>0.12557238100000001</v>
      </c>
      <c r="H30">
        <v>-0.28464747600000001</v>
      </c>
      <c r="I30" s="9">
        <v>0</v>
      </c>
      <c r="K30" s="3">
        <f t="shared" si="0"/>
        <v>1.0012557238099999</v>
      </c>
      <c r="L30" s="1">
        <f t="shared" si="1"/>
        <v>1.0003137832317277</v>
      </c>
      <c r="M30">
        <f t="shared" si="2"/>
        <v>0.99968654100451759</v>
      </c>
      <c r="N30" s="9">
        <f t="shared" si="3"/>
        <v>-3.1345899548240741E-2</v>
      </c>
    </row>
    <row r="31" spans="1:17" x14ac:dyDescent="0.25">
      <c r="A31" s="3">
        <v>2006</v>
      </c>
      <c r="B31" t="s">
        <v>9</v>
      </c>
      <c r="C31">
        <v>-0.52929188599999999</v>
      </c>
      <c r="D31">
        <v>0</v>
      </c>
      <c r="E31">
        <v>-7.1967604000000004E-2</v>
      </c>
      <c r="F31">
        <v>3.1179069E-2</v>
      </c>
      <c r="G31">
        <v>0.19637175400000001</v>
      </c>
      <c r="H31">
        <v>-0.29951842699999998</v>
      </c>
      <c r="I31" s="9">
        <v>0</v>
      </c>
      <c r="K31" s="3">
        <f t="shared" si="0"/>
        <v>1.00196371754</v>
      </c>
      <c r="L31" s="1">
        <f t="shared" si="1"/>
        <v>1.0004905682810692</v>
      </c>
      <c r="M31">
        <f t="shared" si="2"/>
        <v>1.0004603545379811</v>
      </c>
      <c r="N31" s="9">
        <f t="shared" si="3"/>
        <v>4.6035453798110026E-2</v>
      </c>
    </row>
    <row r="32" spans="1:17" x14ac:dyDescent="0.25">
      <c r="A32" s="3">
        <v>2007</v>
      </c>
      <c r="B32" t="s">
        <v>10</v>
      </c>
      <c r="C32">
        <v>-0.66909815100000003</v>
      </c>
      <c r="D32">
        <v>0</v>
      </c>
      <c r="E32">
        <v>-0.64269488699999999</v>
      </c>
      <c r="F32">
        <v>-0.46373464599999997</v>
      </c>
      <c r="G32">
        <v>0.17083179200000001</v>
      </c>
      <c r="H32">
        <v>-0.349792033</v>
      </c>
      <c r="I32" s="9">
        <v>0</v>
      </c>
      <c r="K32" s="3">
        <f t="shared" si="0"/>
        <v>1.0017083179199999</v>
      </c>
      <c r="L32" s="1">
        <f t="shared" si="1"/>
        <v>1.0004268061569996</v>
      </c>
      <c r="M32">
        <f t="shared" si="2"/>
        <v>1.0012980693183895</v>
      </c>
      <c r="N32" s="9">
        <f t="shared" si="3"/>
        <v>0.12980693183894942</v>
      </c>
    </row>
    <row r="33" spans="1:14" x14ac:dyDescent="0.25">
      <c r="A33" s="3">
        <v>2007</v>
      </c>
      <c r="B33" t="s">
        <v>11</v>
      </c>
      <c r="C33">
        <v>-0.37569550000000002</v>
      </c>
      <c r="D33">
        <v>0</v>
      </c>
      <c r="E33">
        <v>4.4304809000000001E-2</v>
      </c>
      <c r="F33">
        <v>0.686781266</v>
      </c>
      <c r="G33">
        <v>-0.35638877400000002</v>
      </c>
      <c r="H33">
        <v>-0.28608768299999998</v>
      </c>
      <c r="I33" s="9">
        <v>0</v>
      </c>
      <c r="K33" s="3">
        <f t="shared" si="0"/>
        <v>0.99643611225999995</v>
      </c>
      <c r="L33" s="1">
        <f t="shared" si="1"/>
        <v>0.99910783483695098</v>
      </c>
      <c r="M33">
        <f t="shared" si="2"/>
        <v>1.0003383909670687</v>
      </c>
      <c r="N33" s="9">
        <f t="shared" si="3"/>
        <v>3.3839096706866911E-2</v>
      </c>
    </row>
    <row r="34" spans="1:14" x14ac:dyDescent="0.25">
      <c r="A34" s="3">
        <v>2007</v>
      </c>
      <c r="B34" t="s">
        <v>12</v>
      </c>
      <c r="C34">
        <v>-0.18288215499999999</v>
      </c>
      <c r="D34">
        <v>0</v>
      </c>
      <c r="E34">
        <v>-6.1170938000000001E-2</v>
      </c>
      <c r="F34">
        <v>-8.3693794000000002E-2</v>
      </c>
      <c r="G34">
        <v>7.0034056999999997E-2</v>
      </c>
      <c r="H34">
        <v>-4.7511202000000002E-2</v>
      </c>
      <c r="I34" s="9">
        <v>0</v>
      </c>
      <c r="K34" s="3">
        <f t="shared" si="0"/>
        <v>1.0007003405699999</v>
      </c>
      <c r="L34" s="1">
        <f t="shared" si="1"/>
        <v>1.0001750391790654</v>
      </c>
      <c r="M34">
        <f t="shared" si="2"/>
        <v>1.0001996435013001</v>
      </c>
      <c r="N34" s="9">
        <f t="shared" si="3"/>
        <v>1.9964350130008413E-2</v>
      </c>
    </row>
    <row r="35" spans="1:14" x14ac:dyDescent="0.25">
      <c r="A35" s="3">
        <v>2007</v>
      </c>
      <c r="B35" t="s">
        <v>9</v>
      </c>
      <c r="C35">
        <v>-8.3106699000000006E-2</v>
      </c>
      <c r="D35">
        <v>1</v>
      </c>
      <c r="E35">
        <v>0.32713422199999997</v>
      </c>
      <c r="F35">
        <v>0.14430248300000001</v>
      </c>
      <c r="G35">
        <v>0.126901656</v>
      </c>
      <c r="H35">
        <v>5.5930083999999998E-2</v>
      </c>
      <c r="I35" s="9">
        <v>0</v>
      </c>
      <c r="K35" s="3">
        <f t="shared" ref="K35:K66" si="4">1+(G35/100)</f>
        <v>1.00126901656</v>
      </c>
      <c r="L35" s="1">
        <f t="shared" si="1"/>
        <v>1.0003171032763796</v>
      </c>
      <c r="M35">
        <f t="shared" si="2"/>
        <v>1.0000262289371342</v>
      </c>
      <c r="N35" s="9">
        <f t="shared" si="3"/>
        <v>2.6228937134220587E-3</v>
      </c>
    </row>
    <row r="36" spans="1:14" x14ac:dyDescent="0.25">
      <c r="A36" s="3">
        <v>2008</v>
      </c>
      <c r="B36" t="s">
        <v>10</v>
      </c>
      <c r="C36">
        <v>6.8536601000000003E-2</v>
      </c>
      <c r="D36">
        <v>1</v>
      </c>
      <c r="E36">
        <v>-3.6121690999999997E-2</v>
      </c>
      <c r="F36">
        <v>0.32318988399999998</v>
      </c>
      <c r="G36">
        <v>-0.496647695</v>
      </c>
      <c r="H36">
        <v>0.13733612000000001</v>
      </c>
      <c r="I36" s="9">
        <v>0</v>
      </c>
      <c r="K36" s="3">
        <f t="shared" si="4"/>
        <v>0.99503352305000003</v>
      </c>
      <c r="L36" s="1">
        <f t="shared" si="1"/>
        <v>0.99875606161268304</v>
      </c>
      <c r="M36">
        <f t="shared" si="2"/>
        <v>0.99835615336949901</v>
      </c>
      <c r="N36" s="9">
        <f t="shared" si="3"/>
        <v>-0.16438466305009891</v>
      </c>
    </row>
    <row r="37" spans="1:14" x14ac:dyDescent="0.25">
      <c r="A37" s="3">
        <v>2008</v>
      </c>
      <c r="B37" t="s">
        <v>11</v>
      </c>
      <c r="C37">
        <v>0.708122052</v>
      </c>
      <c r="D37">
        <v>1</v>
      </c>
      <c r="E37">
        <v>2.6026466140000002</v>
      </c>
      <c r="F37">
        <v>0.53057093700000002</v>
      </c>
      <c r="G37">
        <v>-0.199715061</v>
      </c>
      <c r="H37">
        <v>2.2717907369999999</v>
      </c>
      <c r="I37" s="9">
        <v>0</v>
      </c>
      <c r="K37" s="3">
        <f t="shared" si="4"/>
        <v>0.99800284938999995</v>
      </c>
      <c r="L37" s="1">
        <f t="shared" si="1"/>
        <v>0.99950033797902826</v>
      </c>
      <c r="M37">
        <f t="shared" si="2"/>
        <v>0.99874836121078137</v>
      </c>
      <c r="N37" s="9">
        <f t="shared" si="3"/>
        <v>-0.12516387892186343</v>
      </c>
    </row>
    <row r="38" spans="1:14" x14ac:dyDescent="0.25">
      <c r="A38" s="3">
        <v>2008</v>
      </c>
      <c r="B38" t="s">
        <v>12</v>
      </c>
      <c r="C38">
        <v>1.0750273459999999</v>
      </c>
      <c r="D38">
        <v>1</v>
      </c>
      <c r="E38">
        <v>1.4064502379999999</v>
      </c>
      <c r="F38">
        <v>-1.9857260000000002E-3</v>
      </c>
      <c r="G38">
        <v>0.297073951</v>
      </c>
      <c r="H38">
        <v>1.111362014</v>
      </c>
      <c r="I38" s="9">
        <v>0</v>
      </c>
      <c r="K38" s="3">
        <f t="shared" si="4"/>
        <v>1.00297073951</v>
      </c>
      <c r="L38" s="1">
        <f t="shared" si="1"/>
        <v>1.0007418589371149</v>
      </c>
      <c r="M38">
        <f t="shared" si="2"/>
        <v>0.999314372441094</v>
      </c>
      <c r="N38" s="9">
        <f t="shared" si="3"/>
        <v>-6.8562755890599902E-2</v>
      </c>
    </row>
    <row r="39" spans="1:14" x14ac:dyDescent="0.25">
      <c r="A39" s="3">
        <v>2008</v>
      </c>
      <c r="B39" t="s">
        <v>9</v>
      </c>
      <c r="C39">
        <v>1.4010759079999999</v>
      </c>
      <c r="D39">
        <v>1</v>
      </c>
      <c r="E39">
        <v>1.6313284690000001</v>
      </c>
      <c r="F39">
        <v>0.51126306399999999</v>
      </c>
      <c r="G39">
        <v>-0.30037655299999999</v>
      </c>
      <c r="H39">
        <v>1.4204419580000001</v>
      </c>
      <c r="I39" s="9">
        <v>0</v>
      </c>
      <c r="K39" s="3">
        <f t="shared" si="4"/>
        <v>0.99699623446999996</v>
      </c>
      <c r="L39" s="1">
        <f t="shared" si="1"/>
        <v>0.9992482112628629</v>
      </c>
      <c r="M39">
        <f t="shared" si="2"/>
        <v>0.99824655189879197</v>
      </c>
      <c r="N39" s="9">
        <f t="shared" si="3"/>
        <v>-0.17534481012080327</v>
      </c>
    </row>
    <row r="40" spans="1:14" x14ac:dyDescent="0.25">
      <c r="A40" s="3">
        <v>2009</v>
      </c>
      <c r="B40" t="s">
        <v>10</v>
      </c>
      <c r="C40">
        <v>2.2863771420000001</v>
      </c>
      <c r="D40">
        <v>1</v>
      </c>
      <c r="E40">
        <v>3.505083247</v>
      </c>
      <c r="F40">
        <v>0.17977453299999999</v>
      </c>
      <c r="G40">
        <v>0.41903787199999998</v>
      </c>
      <c r="H40">
        <v>2.9062708420000001</v>
      </c>
      <c r="I40" s="9">
        <v>0</v>
      </c>
      <c r="K40" s="3">
        <f t="shared" si="4"/>
        <v>1.0041903787199999</v>
      </c>
      <c r="L40" s="1">
        <f t="shared" si="1"/>
        <v>1.0010459525104303</v>
      </c>
      <c r="M40">
        <f t="shared" si="2"/>
        <v>1.0005352746217455</v>
      </c>
      <c r="N40" s="9">
        <f t="shared" si="3"/>
        <v>5.3527462174551843E-2</v>
      </c>
    </row>
    <row r="41" spans="1:14" x14ac:dyDescent="0.25">
      <c r="A41" s="3">
        <v>2009</v>
      </c>
      <c r="B41" t="s">
        <v>11</v>
      </c>
      <c r="C41">
        <v>2.3421245740000001</v>
      </c>
      <c r="D41">
        <v>1</v>
      </c>
      <c r="E41">
        <v>2.8256363430000002</v>
      </c>
      <c r="F41">
        <v>1.633797554</v>
      </c>
      <c r="G41">
        <v>-0.72281695700000004</v>
      </c>
      <c r="H41">
        <v>1.914655746</v>
      </c>
      <c r="I41" s="9">
        <v>0</v>
      </c>
      <c r="K41" s="3">
        <f t="shared" si="4"/>
        <v>0.99277183042999995</v>
      </c>
      <c r="L41" s="1">
        <f t="shared" si="1"/>
        <v>0.99818803874847728</v>
      </c>
      <c r="M41">
        <f t="shared" si="2"/>
        <v>0.9992216165656812</v>
      </c>
      <c r="N41" s="9">
        <f t="shared" si="3"/>
        <v>-7.7838343431879675E-2</v>
      </c>
    </row>
    <row r="42" spans="1:14" x14ac:dyDescent="0.25">
      <c r="A42" s="3">
        <v>2009</v>
      </c>
      <c r="B42" t="s">
        <v>12</v>
      </c>
      <c r="C42">
        <v>2.6636934019999998</v>
      </c>
      <c r="D42">
        <v>0</v>
      </c>
      <c r="E42">
        <v>2.6927255510000001</v>
      </c>
      <c r="F42">
        <v>0.40462034200000002</v>
      </c>
      <c r="G42">
        <v>-0.47027611000000002</v>
      </c>
      <c r="H42">
        <v>2.7583813190000002</v>
      </c>
      <c r="I42" s="9">
        <v>0</v>
      </c>
      <c r="K42" s="3">
        <f t="shared" si="4"/>
        <v>0.99529723889999999</v>
      </c>
      <c r="L42" s="1">
        <f t="shared" si="1"/>
        <v>0.99882223064727838</v>
      </c>
      <c r="M42">
        <f t="shared" si="2"/>
        <v>0.997304904412746</v>
      </c>
      <c r="N42" s="9">
        <f t="shared" si="3"/>
        <v>-0.26950955872540039</v>
      </c>
    </row>
    <row r="43" spans="1:14" x14ac:dyDescent="0.25">
      <c r="A43" s="3">
        <v>2009</v>
      </c>
      <c r="B43" t="s">
        <v>9</v>
      </c>
      <c r="C43">
        <v>2.8085749070000001</v>
      </c>
      <c r="D43">
        <v>0</v>
      </c>
      <c r="E43">
        <v>2.2108544889999999</v>
      </c>
      <c r="F43">
        <v>0.60701753999999997</v>
      </c>
      <c r="G43">
        <v>-0.72267409999999999</v>
      </c>
      <c r="H43">
        <v>2.3265110490000001</v>
      </c>
      <c r="I43" s="9">
        <v>0</v>
      </c>
      <c r="K43" s="3">
        <f t="shared" si="4"/>
        <v>0.99277325900000002</v>
      </c>
      <c r="L43" s="1">
        <f t="shared" si="1"/>
        <v>0.99818839783922531</v>
      </c>
      <c r="M43">
        <f t="shared" si="2"/>
        <v>0.99624715208130032</v>
      </c>
      <c r="N43" s="9">
        <f t="shared" si="3"/>
        <v>-0.37528479186996755</v>
      </c>
    </row>
    <row r="44" spans="1:14" x14ac:dyDescent="0.25">
      <c r="A44" s="3">
        <v>2010</v>
      </c>
      <c r="B44" t="s">
        <v>10</v>
      </c>
      <c r="C44">
        <v>2.2875209480000001</v>
      </c>
      <c r="D44">
        <v>0</v>
      </c>
      <c r="E44">
        <v>1.420867412</v>
      </c>
      <c r="F44">
        <v>0.46962758199999999</v>
      </c>
      <c r="G44">
        <v>-1.1012365900000001</v>
      </c>
      <c r="H44">
        <v>2.0524764200000001</v>
      </c>
      <c r="I44" s="9">
        <v>0</v>
      </c>
      <c r="K44" s="3">
        <f t="shared" si="4"/>
        <v>0.98898763410000001</v>
      </c>
      <c r="L44" s="1">
        <f t="shared" si="1"/>
        <v>0.99723546566362054</v>
      </c>
      <c r="M44">
        <f t="shared" si="2"/>
        <v>0.99245493189434753</v>
      </c>
      <c r="N44" s="9">
        <f t="shared" si="3"/>
        <v>-0.75450681056524749</v>
      </c>
    </row>
    <row r="45" spans="1:14" x14ac:dyDescent="0.25">
      <c r="A45" s="3">
        <v>2010</v>
      </c>
      <c r="B45" t="s">
        <v>11</v>
      </c>
      <c r="C45">
        <v>1.8672980239999999</v>
      </c>
      <c r="D45">
        <v>0</v>
      </c>
      <c r="E45">
        <v>1.144744647</v>
      </c>
      <c r="F45">
        <v>0.40610007999999997</v>
      </c>
      <c r="G45">
        <v>-0.40289978599999998</v>
      </c>
      <c r="H45">
        <v>1.141544353</v>
      </c>
      <c r="I45" s="9">
        <v>0</v>
      </c>
      <c r="K45" s="3">
        <f t="shared" si="4"/>
        <v>0.99597100214000001</v>
      </c>
      <c r="L45" s="1">
        <f t="shared" si="1"/>
        <v>0.99899122512116312</v>
      </c>
      <c r="M45">
        <f t="shared" si="2"/>
        <v>0.9932535051549547</v>
      </c>
      <c r="N45" s="9">
        <f t="shared" si="3"/>
        <v>-0.67464948450453033</v>
      </c>
    </row>
    <row r="46" spans="1:14" x14ac:dyDescent="0.25">
      <c r="A46" s="3">
        <v>2010</v>
      </c>
      <c r="B46" t="s">
        <v>12</v>
      </c>
      <c r="C46">
        <v>1.233281345</v>
      </c>
      <c r="D46">
        <v>0</v>
      </c>
      <c r="E46">
        <v>0.156658835</v>
      </c>
      <c r="F46">
        <v>7.1170082999999995E-2</v>
      </c>
      <c r="G46">
        <v>-0.93384086799999999</v>
      </c>
      <c r="H46">
        <v>1.0193296190000001</v>
      </c>
      <c r="I46" s="9">
        <v>0</v>
      </c>
      <c r="K46" s="3">
        <f t="shared" si="4"/>
        <v>0.99066159131999998</v>
      </c>
      <c r="L46" s="1">
        <f t="shared" si="1"/>
        <v>0.99765717745558158</v>
      </c>
      <c r="M46">
        <f t="shared" si="2"/>
        <v>0.99209494747488092</v>
      </c>
      <c r="N46" s="9">
        <f t="shared" si="3"/>
        <v>-0.79050525251190829</v>
      </c>
    </row>
    <row r="47" spans="1:14" x14ac:dyDescent="0.25">
      <c r="A47" s="3">
        <v>2010</v>
      </c>
      <c r="B47" t="s">
        <v>9</v>
      </c>
      <c r="C47">
        <v>0.72799530800000001</v>
      </c>
      <c r="D47">
        <v>0</v>
      </c>
      <c r="E47">
        <v>0.18971033800000001</v>
      </c>
      <c r="F47">
        <v>-0.71874128100000001</v>
      </c>
      <c r="G47">
        <v>-0.10277462800000001</v>
      </c>
      <c r="H47">
        <v>1.011226247</v>
      </c>
      <c r="I47" s="9">
        <v>0</v>
      </c>
      <c r="K47" s="3">
        <f t="shared" si="4"/>
        <v>0.99897225371999998</v>
      </c>
      <c r="L47" s="1">
        <f t="shared" si="1"/>
        <v>0.99974296434598942</v>
      </c>
      <c r="M47">
        <f t="shared" si="2"/>
        <v>0.99364002411593677</v>
      </c>
      <c r="N47" s="9">
        <f t="shared" si="3"/>
        <v>-0.63599758840632292</v>
      </c>
    </row>
    <row r="48" spans="1:14" x14ac:dyDescent="0.25">
      <c r="A48" s="3">
        <v>2011</v>
      </c>
      <c r="B48" t="s">
        <v>10</v>
      </c>
      <c r="C48" s="22">
        <v>1.3563760000000001E-3</v>
      </c>
      <c r="D48">
        <v>0</v>
      </c>
      <c r="E48">
        <v>-1.4856883139999999</v>
      </c>
      <c r="F48">
        <v>-0.81430110600000005</v>
      </c>
      <c r="G48">
        <v>-0.53552758199999995</v>
      </c>
      <c r="H48">
        <v>-0.13585962600000001</v>
      </c>
      <c r="I48" s="9">
        <v>0</v>
      </c>
      <c r="K48" s="3">
        <f t="shared" si="4"/>
        <v>0.99464472418000005</v>
      </c>
      <c r="L48" s="1">
        <f t="shared" si="1"/>
        <v>0.99865848396054402</v>
      </c>
      <c r="M48">
        <f t="shared" si="2"/>
        <v>0.99505791185013559</v>
      </c>
      <c r="N48" s="9">
        <f t="shared" si="3"/>
        <v>-0.49420881498644098</v>
      </c>
    </row>
    <row r="49" spans="1:14" x14ac:dyDescent="0.25">
      <c r="A49" s="3">
        <v>2011</v>
      </c>
      <c r="B49" t="s">
        <v>11</v>
      </c>
      <c r="C49">
        <v>-0.64027574099999995</v>
      </c>
      <c r="D49">
        <v>0</v>
      </c>
      <c r="E49">
        <v>-1.421783821</v>
      </c>
      <c r="F49">
        <v>-0.238899798</v>
      </c>
      <c r="G49">
        <v>-0.71242586799999996</v>
      </c>
      <c r="H49">
        <v>-0.47045815600000002</v>
      </c>
      <c r="I49" s="9">
        <v>0</v>
      </c>
      <c r="K49" s="3">
        <f t="shared" si="4"/>
        <v>0.99287574132</v>
      </c>
      <c r="L49" s="1">
        <f t="shared" si="1"/>
        <v>0.99821415717101425</v>
      </c>
      <c r="M49">
        <f t="shared" si="2"/>
        <v>0.99428390343805262</v>
      </c>
      <c r="N49" s="9">
        <f t="shared" si="3"/>
        <v>-0.57160965619473814</v>
      </c>
    </row>
    <row r="50" spans="1:14" x14ac:dyDescent="0.25">
      <c r="A50" s="3">
        <v>2011</v>
      </c>
      <c r="B50" t="s">
        <v>12</v>
      </c>
      <c r="C50">
        <v>-1.250344814</v>
      </c>
      <c r="D50">
        <v>0</v>
      </c>
      <c r="E50">
        <v>-2.2836174589999998</v>
      </c>
      <c r="F50">
        <v>-1.470723717</v>
      </c>
      <c r="G50">
        <v>-0.104974262</v>
      </c>
      <c r="H50">
        <v>-0.70791948000000005</v>
      </c>
      <c r="I50" s="9">
        <v>0</v>
      </c>
      <c r="K50" s="3">
        <f t="shared" si="4"/>
        <v>0.99895025737999998</v>
      </c>
      <c r="L50" s="1">
        <f t="shared" si="1"/>
        <v>0.99973746097298366</v>
      </c>
      <c r="M50">
        <f t="shared" si="2"/>
        <v>0.99635715311006479</v>
      </c>
      <c r="N50" s="9">
        <f t="shared" si="3"/>
        <v>-0.3642846889935214</v>
      </c>
    </row>
    <row r="51" spans="1:14" x14ac:dyDescent="0.25">
      <c r="A51" s="3">
        <v>2011</v>
      </c>
      <c r="B51" t="s">
        <v>9</v>
      </c>
      <c r="C51">
        <v>-1.6008919699999999</v>
      </c>
      <c r="D51">
        <v>0</v>
      </c>
      <c r="E51">
        <v>-1.2124782839999999</v>
      </c>
      <c r="F51">
        <v>-0.27598768899999998</v>
      </c>
      <c r="G51">
        <v>-0.196688262</v>
      </c>
      <c r="H51">
        <v>-0.73980233299999998</v>
      </c>
      <c r="I51" s="9">
        <v>0</v>
      </c>
      <c r="K51" s="3">
        <f t="shared" si="4"/>
        <v>0.99803311738</v>
      </c>
      <c r="L51" s="1">
        <f t="shared" si="1"/>
        <v>0.99950791624450808</v>
      </c>
      <c r="M51">
        <f t="shared" si="2"/>
        <v>0.99612290104169532</v>
      </c>
      <c r="N51" s="9">
        <f t="shared" si="3"/>
        <v>-0.38770989583046811</v>
      </c>
    </row>
    <row r="52" spans="1:14" x14ac:dyDescent="0.25">
      <c r="A52" s="3">
        <v>2012</v>
      </c>
      <c r="B52" t="s">
        <v>10</v>
      </c>
      <c r="C52">
        <v>-1.620630384</v>
      </c>
      <c r="D52">
        <v>0</v>
      </c>
      <c r="E52">
        <v>-1.5646419730000001</v>
      </c>
      <c r="F52">
        <v>-0.44133752199999998</v>
      </c>
      <c r="G52">
        <v>-0.300379964</v>
      </c>
      <c r="H52">
        <v>-0.82292448699999998</v>
      </c>
      <c r="I52" s="9">
        <v>0</v>
      </c>
      <c r="K52" s="3">
        <f t="shared" si="4"/>
        <v>0.99699620036000003</v>
      </c>
      <c r="L52" s="1">
        <f t="shared" si="1"/>
        <v>0.99924820271610126</v>
      </c>
      <c r="M52">
        <f t="shared" si="2"/>
        <v>0.99671112250781124</v>
      </c>
      <c r="N52" s="9">
        <f t="shared" si="3"/>
        <v>-0.32888774921887576</v>
      </c>
    </row>
    <row r="53" spans="1:14" x14ac:dyDescent="0.25">
      <c r="A53" s="3">
        <v>2012</v>
      </c>
      <c r="B53" t="s">
        <v>11</v>
      </c>
      <c r="C53">
        <v>-1.6067369730000001</v>
      </c>
      <c r="D53">
        <v>0</v>
      </c>
      <c r="E53">
        <v>-1.366210175</v>
      </c>
      <c r="F53">
        <v>-0.67826794800000001</v>
      </c>
      <c r="G53">
        <v>-0.105513062</v>
      </c>
      <c r="H53">
        <v>-0.58242916499999997</v>
      </c>
      <c r="I53" s="9">
        <v>0</v>
      </c>
      <c r="K53" s="3">
        <f t="shared" si="4"/>
        <v>0.99894486938000004</v>
      </c>
      <c r="L53" s="1">
        <f t="shared" si="1"/>
        <v>0.99973611290877962</v>
      </c>
      <c r="M53">
        <f t="shared" si="2"/>
        <v>0.99823078660082953</v>
      </c>
      <c r="N53" s="9">
        <f t="shared" si="3"/>
        <v>-0.17692133991704662</v>
      </c>
    </row>
    <row r="54" spans="1:14" x14ac:dyDescent="0.25">
      <c r="A54" s="3">
        <v>2012</v>
      </c>
      <c r="B54" t="s">
        <v>12</v>
      </c>
      <c r="C54">
        <v>-1.2579724919999999</v>
      </c>
      <c r="D54">
        <v>0</v>
      </c>
      <c r="E54">
        <v>-0.88855953499999996</v>
      </c>
      <c r="F54">
        <v>-8.6793417999999997E-2</v>
      </c>
      <c r="G54">
        <v>-0.37296186399999998</v>
      </c>
      <c r="H54">
        <v>-0.42880425300000002</v>
      </c>
      <c r="I54" s="9">
        <v>0</v>
      </c>
      <c r="K54" s="3">
        <f t="shared" si="4"/>
        <v>0.99627038136000001</v>
      </c>
      <c r="L54" s="1">
        <f t="shared" si="1"/>
        <v>0.99906628842788603</v>
      </c>
      <c r="M54">
        <f t="shared" si="2"/>
        <v>0.99756062555976421</v>
      </c>
      <c r="N54" s="9">
        <f t="shared" si="3"/>
        <v>-0.24393744402357864</v>
      </c>
    </row>
    <row r="55" spans="1:14" x14ac:dyDescent="0.25">
      <c r="A55" s="3">
        <v>2012</v>
      </c>
      <c r="B55" t="s">
        <v>9</v>
      </c>
      <c r="C55">
        <v>-1.3487150349999999</v>
      </c>
      <c r="D55">
        <v>0</v>
      </c>
      <c r="E55">
        <v>-1.575448459</v>
      </c>
      <c r="F55">
        <v>-0.89337262200000001</v>
      </c>
      <c r="G55">
        <v>-0.19353925799999999</v>
      </c>
      <c r="H55">
        <v>-0.48853657900000003</v>
      </c>
      <c r="I55" s="9">
        <v>0</v>
      </c>
      <c r="K55" s="3">
        <f t="shared" si="4"/>
        <v>0.99806460742000003</v>
      </c>
      <c r="L55" s="1">
        <f t="shared" si="1"/>
        <v>0.99951580029447429</v>
      </c>
      <c r="M55">
        <f t="shared" si="2"/>
        <v>0.9975684942496349</v>
      </c>
      <c r="N55" s="9">
        <f t="shared" si="3"/>
        <v>-0.24315057503651039</v>
      </c>
    </row>
    <row r="56" spans="1:14" x14ac:dyDescent="0.25">
      <c r="A56" s="3">
        <v>2013</v>
      </c>
      <c r="B56" t="s">
        <v>10</v>
      </c>
      <c r="C56">
        <v>-1.4089576349999999</v>
      </c>
      <c r="D56">
        <v>0</v>
      </c>
      <c r="E56">
        <v>-1.805612373</v>
      </c>
      <c r="F56">
        <v>-1.0425621599999999</v>
      </c>
      <c r="G56">
        <v>9.6102719999999996E-3</v>
      </c>
      <c r="H56">
        <v>-0.77266048499999995</v>
      </c>
      <c r="I56" s="9">
        <v>0</v>
      </c>
      <c r="K56" s="3">
        <f t="shared" si="4"/>
        <v>1.0000961027199999</v>
      </c>
      <c r="L56" s="1">
        <f t="shared" si="1"/>
        <v>1.0000240248141985</v>
      </c>
      <c r="M56">
        <f t="shared" si="2"/>
        <v>0.99834301221234012</v>
      </c>
      <c r="N56" s="9">
        <f t="shared" si="3"/>
        <v>-0.16569877876598804</v>
      </c>
    </row>
    <row r="57" spans="1:14" x14ac:dyDescent="0.25">
      <c r="A57" s="3">
        <v>2013</v>
      </c>
      <c r="B57" t="s">
        <v>11</v>
      </c>
      <c r="C57">
        <v>-1.3787480219999999</v>
      </c>
      <c r="D57">
        <v>0</v>
      </c>
      <c r="E57">
        <v>-1.2453717230000001</v>
      </c>
      <c r="F57">
        <v>-0.33606556900000001</v>
      </c>
      <c r="G57">
        <v>-7.9749327999999994E-2</v>
      </c>
      <c r="H57">
        <v>-0.82955682600000002</v>
      </c>
      <c r="I57" s="9">
        <v>0</v>
      </c>
      <c r="K57" s="3">
        <f t="shared" si="4"/>
        <v>0.99920250671999999</v>
      </c>
      <c r="L57" s="1">
        <f t="shared" si="1"/>
        <v>0.99980056702766607</v>
      </c>
      <c r="M57">
        <f t="shared" si="2"/>
        <v>0.99840737651644762</v>
      </c>
      <c r="N57" s="9">
        <f t="shared" si="3"/>
        <v>-0.159262348355238</v>
      </c>
    </row>
    <row r="58" spans="1:14" x14ac:dyDescent="0.25">
      <c r="A58" s="3">
        <v>2013</v>
      </c>
      <c r="B58" t="s">
        <v>12</v>
      </c>
      <c r="C58">
        <v>-1.431289899</v>
      </c>
      <c r="D58">
        <v>0</v>
      </c>
      <c r="E58">
        <v>-1.09872704</v>
      </c>
      <c r="F58">
        <v>-0.60420272600000002</v>
      </c>
      <c r="G58">
        <v>-8.8100998E-2</v>
      </c>
      <c r="H58">
        <v>-0.40642331500000001</v>
      </c>
      <c r="I58" s="9">
        <v>0</v>
      </c>
      <c r="K58" s="3">
        <f t="shared" si="4"/>
        <v>0.99911899002000004</v>
      </c>
      <c r="L58" s="1">
        <f t="shared" si="1"/>
        <v>0.99977967470083851</v>
      </c>
      <c r="M58">
        <f t="shared" si="2"/>
        <v>0.99912029229137789</v>
      </c>
      <c r="N58" s="9">
        <f t="shared" si="3"/>
        <v>-8.7970770862211278E-2</v>
      </c>
    </row>
    <row r="59" spans="1:14" x14ac:dyDescent="0.25">
      <c r="A59" s="3">
        <v>2013</v>
      </c>
      <c r="B59" t="s">
        <v>9</v>
      </c>
      <c r="C59">
        <v>-1.376795998</v>
      </c>
      <c r="D59">
        <v>0</v>
      </c>
      <c r="E59">
        <v>-1.3574728570000001</v>
      </c>
      <c r="F59">
        <v>-0.91563589599999995</v>
      </c>
      <c r="G59">
        <v>9.4375989999999996E-3</v>
      </c>
      <c r="H59">
        <v>-0.45127455999999999</v>
      </c>
      <c r="I59" s="9">
        <v>0</v>
      </c>
      <c r="K59" s="3">
        <f t="shared" si="4"/>
        <v>1.0000943759900001</v>
      </c>
      <c r="L59" s="1">
        <f t="shared" si="1"/>
        <v>1.000023593162531</v>
      </c>
      <c r="M59">
        <f t="shared" si="2"/>
        <v>0.99962788422599946</v>
      </c>
      <c r="N59" s="9">
        <f t="shared" si="3"/>
        <v>-3.7211577400053653E-2</v>
      </c>
    </row>
    <row r="60" spans="1:14" x14ac:dyDescent="0.25">
      <c r="A60" s="3">
        <v>2014</v>
      </c>
      <c r="B60" t="s">
        <v>10</v>
      </c>
      <c r="C60">
        <v>-1.2531560070000001</v>
      </c>
      <c r="D60">
        <v>0</v>
      </c>
      <c r="E60">
        <v>-1.311052409</v>
      </c>
      <c r="F60">
        <v>-0.26334643499999999</v>
      </c>
      <c r="G60">
        <v>-0.39113416499999998</v>
      </c>
      <c r="H60">
        <v>-0.65657180900000001</v>
      </c>
      <c r="I60" s="9">
        <v>0</v>
      </c>
      <c r="K60" s="3">
        <f t="shared" si="4"/>
        <v>0.99608865835000004</v>
      </c>
      <c r="L60" s="1">
        <f t="shared" si="1"/>
        <v>0.9990207270631416</v>
      </c>
      <c r="M60">
        <f t="shared" si="2"/>
        <v>0.99862498391235544</v>
      </c>
      <c r="N60" s="9">
        <f t="shared" si="3"/>
        <v>-0.1375016087644565</v>
      </c>
    </row>
    <row r="61" spans="1:14" x14ac:dyDescent="0.25">
      <c r="A61" s="3">
        <v>2014</v>
      </c>
      <c r="B61" t="s">
        <v>11</v>
      </c>
      <c r="C61">
        <v>-1.1327953369999999</v>
      </c>
      <c r="D61">
        <v>0</v>
      </c>
      <c r="E61">
        <v>-0.76392904399999995</v>
      </c>
      <c r="F61">
        <v>-9.8298418999999998E-2</v>
      </c>
      <c r="G61">
        <v>-0.14397327500000001</v>
      </c>
      <c r="H61">
        <v>-0.52165735000000002</v>
      </c>
      <c r="I61" s="9">
        <v>0</v>
      </c>
      <c r="K61" s="3">
        <f t="shared" si="4"/>
        <v>0.99856026725000002</v>
      </c>
      <c r="L61" s="1">
        <f t="shared" si="1"/>
        <v>0.99963987232128404</v>
      </c>
      <c r="M61">
        <f t="shared" si="2"/>
        <v>0.99846447815363948</v>
      </c>
      <c r="N61" s="9">
        <f t="shared" si="3"/>
        <v>-0.15355218463605214</v>
      </c>
    </row>
    <row r="62" spans="1:14" x14ac:dyDescent="0.25">
      <c r="A62" s="3">
        <v>2014</v>
      </c>
      <c r="B62" t="s">
        <v>12</v>
      </c>
      <c r="C62">
        <v>-0.90908620600000001</v>
      </c>
      <c r="D62">
        <v>0</v>
      </c>
      <c r="E62">
        <v>-0.203890512</v>
      </c>
      <c r="F62">
        <v>2.6360067000000001E-2</v>
      </c>
      <c r="G62">
        <v>0.110507841</v>
      </c>
      <c r="H62">
        <v>-0.34075842000000001</v>
      </c>
      <c r="I62" s="9">
        <v>0</v>
      </c>
      <c r="K62" s="3">
        <f t="shared" si="4"/>
        <v>1.00110507841</v>
      </c>
      <c r="L62" s="1">
        <f t="shared" si="1"/>
        <v>1.0002761551889059</v>
      </c>
      <c r="M62">
        <f t="shared" si="2"/>
        <v>0.99896030552838577</v>
      </c>
      <c r="N62" s="9">
        <f t="shared" si="3"/>
        <v>-0.10396944716142276</v>
      </c>
    </row>
    <row r="63" spans="1:14" x14ac:dyDescent="0.25">
      <c r="A63" s="3">
        <v>2014</v>
      </c>
      <c r="B63" t="s">
        <v>9</v>
      </c>
      <c r="C63">
        <v>-0.71978788100000002</v>
      </c>
      <c r="D63">
        <v>0</v>
      </c>
      <c r="E63">
        <v>-0.60027955700000002</v>
      </c>
      <c r="F63">
        <v>-0.86780550400000001</v>
      </c>
      <c r="G63">
        <v>0.46004578499999998</v>
      </c>
      <c r="H63">
        <v>-0.192519839</v>
      </c>
      <c r="I63" s="9">
        <v>0</v>
      </c>
      <c r="K63" s="3">
        <f t="shared" si="4"/>
        <v>1.0046004578500001</v>
      </c>
      <c r="L63" s="1">
        <f t="shared" si="1"/>
        <v>1.0011481356254539</v>
      </c>
      <c r="M63">
        <f t="shared" si="2"/>
        <v>1.0000836523074237</v>
      </c>
      <c r="N63" s="9">
        <f t="shared" si="3"/>
        <v>8.3652307423687233E-3</v>
      </c>
    </row>
    <row r="64" spans="1:14" x14ac:dyDescent="0.25">
      <c r="A64" s="3">
        <v>2015</v>
      </c>
      <c r="B64" t="s">
        <v>10</v>
      </c>
      <c r="C64">
        <v>-0.36839793799999998</v>
      </c>
      <c r="D64">
        <v>0</v>
      </c>
      <c r="E64">
        <v>9.4507359999999999E-2</v>
      </c>
      <c r="F64">
        <v>2.5285339E-2</v>
      </c>
      <c r="G64">
        <v>4.8532842999999999E-2</v>
      </c>
      <c r="H64">
        <v>2.0689177999999999E-2</v>
      </c>
      <c r="I64" s="9">
        <v>0</v>
      </c>
      <c r="K64" s="3">
        <f t="shared" si="4"/>
        <v>1.0004853284299999</v>
      </c>
      <c r="L64" s="1">
        <f t="shared" si="1"/>
        <v>1.0001213100315292</v>
      </c>
      <c r="M64">
        <f t="shared" si="2"/>
        <v>1.001185406259945</v>
      </c>
      <c r="N64" s="9">
        <f t="shared" si="3"/>
        <v>0.11854062599450099</v>
      </c>
    </row>
    <row r="65" spans="1:14" x14ac:dyDescent="0.25">
      <c r="A65" s="3">
        <v>2015</v>
      </c>
      <c r="B65" t="s">
        <v>11</v>
      </c>
      <c r="C65">
        <v>-9.5732170000000005E-2</v>
      </c>
      <c r="D65">
        <v>0</v>
      </c>
      <c r="E65">
        <v>0.32673403099999998</v>
      </c>
      <c r="F65">
        <v>-5.8639400000000001E-2</v>
      </c>
      <c r="G65">
        <v>0.40192497300000002</v>
      </c>
      <c r="H65">
        <v>-1.6551541999999999E-2</v>
      </c>
      <c r="I65" s="9">
        <v>0</v>
      </c>
      <c r="K65" s="3">
        <f t="shared" si="4"/>
        <v>1.00401924973</v>
      </c>
      <c r="L65" s="1">
        <f t="shared" si="1"/>
        <v>1.0010033015014552</v>
      </c>
      <c r="M65">
        <f t="shared" si="2"/>
        <v>1.0025509434253308</v>
      </c>
      <c r="N65" s="9">
        <f t="shared" si="3"/>
        <v>0.25509434253307983</v>
      </c>
    </row>
    <row r="66" spans="1:14" x14ac:dyDescent="0.25">
      <c r="A66" s="3">
        <v>2015</v>
      </c>
      <c r="B66" t="s">
        <v>12</v>
      </c>
      <c r="C66">
        <v>-3.7258360999999997E-2</v>
      </c>
      <c r="D66">
        <v>0</v>
      </c>
      <c r="E66">
        <v>3.0004724999999999E-2</v>
      </c>
      <c r="F66">
        <v>-5.6961812000000001E-2</v>
      </c>
      <c r="G66">
        <v>8.3940878999999996E-2</v>
      </c>
      <c r="H66">
        <v>3.0256580000000001E-3</v>
      </c>
      <c r="I66" s="9">
        <v>0</v>
      </c>
      <c r="K66" s="3">
        <f t="shared" si="4"/>
        <v>1.0008394087900001</v>
      </c>
      <c r="L66" s="1">
        <f t="shared" si="1"/>
        <v>1.0002097861729093</v>
      </c>
      <c r="M66">
        <f t="shared" si="2"/>
        <v>1.0024844234755583</v>
      </c>
      <c r="N66" s="9">
        <f t="shared" si="3"/>
        <v>0.24844234755583283</v>
      </c>
    </row>
    <row r="67" spans="1:14" x14ac:dyDescent="0.25">
      <c r="A67" s="3">
        <v>2015</v>
      </c>
      <c r="B67" t="s">
        <v>9</v>
      </c>
      <c r="C67">
        <v>8.9484255999999998E-2</v>
      </c>
      <c r="D67">
        <v>0</v>
      </c>
      <c r="E67">
        <v>-9.3309091999999996E-2</v>
      </c>
      <c r="F67">
        <v>0.11509824</v>
      </c>
      <c r="G67">
        <v>-0.14419021800000001</v>
      </c>
      <c r="H67">
        <v>-6.4217114000000006E-2</v>
      </c>
      <c r="I67" s="9">
        <v>0</v>
      </c>
      <c r="K67" s="3">
        <f t="shared" ref="K67:K98" si="5">1+(G67/100)</f>
        <v>0.99855809782000005</v>
      </c>
      <c r="L67" s="1">
        <f t="shared" si="1"/>
        <v>0.99963932937696554</v>
      </c>
      <c r="M67">
        <f t="shared" si="2"/>
        <v>1.0009736033398278</v>
      </c>
      <c r="N67" s="9">
        <f t="shared" si="3"/>
        <v>9.7360333982776659E-2</v>
      </c>
    </row>
    <row r="68" spans="1:14" x14ac:dyDescent="0.25">
      <c r="A68" s="3">
        <v>2016</v>
      </c>
      <c r="B68" t="s">
        <v>10</v>
      </c>
      <c r="C68">
        <v>0.13937877800000001</v>
      </c>
      <c r="D68">
        <v>0</v>
      </c>
      <c r="E68">
        <v>0.294085447</v>
      </c>
      <c r="F68">
        <v>6.6613949999999996E-3</v>
      </c>
      <c r="G68">
        <v>0.32356732799999999</v>
      </c>
      <c r="H68">
        <v>-3.6143277000000001E-2</v>
      </c>
      <c r="I68" s="9">
        <v>0</v>
      </c>
      <c r="K68" s="3">
        <f t="shared" si="5"/>
        <v>1.0032356732800001</v>
      </c>
      <c r="L68" s="1">
        <f t="shared" ref="L68:L105" si="6">K68^(1/4)</f>
        <v>1.0008079386452178</v>
      </c>
      <c r="M68">
        <f t="shared" si="2"/>
        <v>1.0016608170915062</v>
      </c>
      <c r="N68" s="9">
        <f t="shared" si="3"/>
        <v>0.16608170915062281</v>
      </c>
    </row>
    <row r="69" spans="1:14" x14ac:dyDescent="0.25">
      <c r="A69" s="3">
        <v>2016</v>
      </c>
      <c r="B69" t="s">
        <v>11</v>
      </c>
      <c r="C69">
        <v>-4.1764139999999998E-2</v>
      </c>
      <c r="D69">
        <v>0</v>
      </c>
      <c r="E69">
        <v>-0.39783763799999999</v>
      </c>
      <c r="F69">
        <v>-0.31466813799999999</v>
      </c>
      <c r="G69">
        <v>-2.4355211000000002E-2</v>
      </c>
      <c r="H69">
        <v>-5.8814288999999999E-2</v>
      </c>
      <c r="I69" s="9">
        <v>0</v>
      </c>
      <c r="K69" s="3">
        <f t="shared" si="5"/>
        <v>0.99975644788999996</v>
      </c>
      <c r="L69" s="1">
        <f t="shared" si="6"/>
        <v>0.99993910641068195</v>
      </c>
      <c r="M69">
        <f t="shared" si="2"/>
        <v>1.0005959229772012</v>
      </c>
      <c r="N69" s="9">
        <f t="shared" si="3"/>
        <v>5.9592297720123533E-2</v>
      </c>
    </row>
    <row r="70" spans="1:14" x14ac:dyDescent="0.25">
      <c r="A70" s="3">
        <v>2016</v>
      </c>
      <c r="B70" t="s">
        <v>12</v>
      </c>
      <c r="C70">
        <v>-7.3140528999999996E-2</v>
      </c>
      <c r="D70">
        <v>0</v>
      </c>
      <c r="E70">
        <v>-9.5500831999999994E-2</v>
      </c>
      <c r="F70">
        <v>7.6177016E-2</v>
      </c>
      <c r="G70">
        <v>-4.0174547999999997E-2</v>
      </c>
      <c r="H70">
        <v>-0.13150329999999999</v>
      </c>
      <c r="I70" s="9">
        <v>0</v>
      </c>
      <c r="K70" s="3">
        <f t="shared" si="5"/>
        <v>0.99959825451999995</v>
      </c>
      <c r="L70" s="1">
        <f t="shared" si="6"/>
        <v>0.99989954849525631</v>
      </c>
      <c r="M70">
        <f t="shared" si="2"/>
        <v>1.0002855655304885</v>
      </c>
      <c r="N70" s="9">
        <f t="shared" si="3"/>
        <v>2.8556553048852962E-2</v>
      </c>
    </row>
    <row r="71" spans="1:14" x14ac:dyDescent="0.25">
      <c r="A71" s="3">
        <v>2016</v>
      </c>
      <c r="B71" t="s">
        <v>9</v>
      </c>
      <c r="C71">
        <v>-0.10913888200000001</v>
      </c>
      <c r="D71">
        <v>0</v>
      </c>
      <c r="E71">
        <v>-0.237302505</v>
      </c>
      <c r="F71">
        <v>-0.15806394100000001</v>
      </c>
      <c r="G71">
        <v>1.0373083999999999E-2</v>
      </c>
      <c r="H71">
        <v>-8.9611648000000002E-2</v>
      </c>
      <c r="I71" s="9">
        <v>0</v>
      </c>
      <c r="K71" s="3">
        <f t="shared" si="5"/>
        <v>1.00010373084</v>
      </c>
      <c r="L71" s="1">
        <f t="shared" si="6"/>
        <v>1.0000259317013029</v>
      </c>
      <c r="M71">
        <f t="shared" ref="M71:M105" si="7">L71*L70*L69*L68</f>
        <v>1.0006724177813662</v>
      </c>
      <c r="N71" s="9">
        <f t="shared" ref="N71:N105" si="8">(M71-1)*100</f>
        <v>6.7241778136617469E-2</v>
      </c>
    </row>
    <row r="72" spans="1:14" x14ac:dyDescent="0.25">
      <c r="A72" s="3">
        <v>2017</v>
      </c>
      <c r="B72" t="s">
        <v>10</v>
      </c>
      <c r="C72">
        <v>-0.27924231300000002</v>
      </c>
      <c r="D72">
        <v>0</v>
      </c>
      <c r="E72">
        <v>-0.38632827800000002</v>
      </c>
      <c r="F72">
        <v>-0.25633852000000001</v>
      </c>
      <c r="G72">
        <v>-0.23008208899999999</v>
      </c>
      <c r="H72">
        <v>0.10009233100000001</v>
      </c>
      <c r="I72" s="9">
        <v>0</v>
      </c>
      <c r="K72" s="3">
        <f t="shared" si="5"/>
        <v>0.99769917910999995</v>
      </c>
      <c r="L72" s="1">
        <f t="shared" si="6"/>
        <v>0.99942429781877706</v>
      </c>
      <c r="M72">
        <f t="shared" si="7"/>
        <v>0.99928896431574954</v>
      </c>
      <c r="N72" s="9">
        <f t="shared" si="8"/>
        <v>-7.110356842504606E-2</v>
      </c>
    </row>
    <row r="73" spans="1:14" x14ac:dyDescent="0.25">
      <c r="A73" s="3">
        <v>2017</v>
      </c>
      <c r="B73" t="s">
        <v>11</v>
      </c>
      <c r="C73">
        <v>-0.18146500900000001</v>
      </c>
      <c r="D73">
        <v>0</v>
      </c>
      <c r="E73">
        <v>-6.7284220000000004E-3</v>
      </c>
      <c r="F73">
        <v>7.0181197000000001E-2</v>
      </c>
      <c r="G73">
        <v>-0.188637376</v>
      </c>
      <c r="H73">
        <v>0.111727757</v>
      </c>
      <c r="I73" s="9">
        <v>0</v>
      </c>
      <c r="K73" s="3">
        <f t="shared" si="5"/>
        <v>0.99811362624</v>
      </c>
      <c r="L73" s="1">
        <f t="shared" si="6"/>
        <v>0.99952807259187537</v>
      </c>
      <c r="M73">
        <f t="shared" si="7"/>
        <v>0.99887819774360453</v>
      </c>
      <c r="N73" s="9">
        <f t="shared" si="8"/>
        <v>-0.11218022563954655</v>
      </c>
    </row>
    <row r="74" spans="1:14" x14ac:dyDescent="0.25">
      <c r="A74" s="3">
        <v>2017</v>
      </c>
      <c r="B74" t="s">
        <v>12</v>
      </c>
      <c r="C74">
        <v>-0.217330626</v>
      </c>
      <c r="D74">
        <v>0</v>
      </c>
      <c r="E74">
        <v>-0.23896329999999999</v>
      </c>
      <c r="F74">
        <v>-0.32912398399999998</v>
      </c>
      <c r="G74">
        <v>7.1616100000000002E-2</v>
      </c>
      <c r="H74">
        <v>1.8544583E-2</v>
      </c>
      <c r="I74" s="9">
        <v>0</v>
      </c>
      <c r="K74" s="3">
        <f t="shared" si="5"/>
        <v>1.0007161609999999</v>
      </c>
      <c r="L74" s="1">
        <f t="shared" si="6"/>
        <v>1.0001789921869606</v>
      </c>
      <c r="M74">
        <f t="shared" si="7"/>
        <v>0.9991573559966116</v>
      </c>
      <c r="N74" s="9">
        <f t="shared" si="8"/>
        <v>-8.4264400338840417E-2</v>
      </c>
    </row>
    <row r="75" spans="1:14" x14ac:dyDescent="0.25">
      <c r="A75" s="3">
        <v>2017</v>
      </c>
      <c r="B75" t="s">
        <v>9</v>
      </c>
      <c r="C75">
        <v>-0.130377523</v>
      </c>
      <c r="D75">
        <v>0</v>
      </c>
      <c r="E75">
        <v>0.110509907</v>
      </c>
      <c r="F75">
        <v>0.21954595399999999</v>
      </c>
      <c r="G75">
        <v>5.4146933000000001E-2</v>
      </c>
      <c r="H75">
        <v>-0.16318298000000001</v>
      </c>
      <c r="I75" s="9">
        <v>0</v>
      </c>
      <c r="K75" s="3">
        <f t="shared" si="5"/>
        <v>1.0005414693300001</v>
      </c>
      <c r="L75" s="1">
        <f t="shared" si="6"/>
        <v>1.0001353398547066</v>
      </c>
      <c r="M75">
        <f t="shared" si="7"/>
        <v>0.99926666912321549</v>
      </c>
      <c r="N75" s="9">
        <f t="shared" si="8"/>
        <v>-7.3333087678451037E-2</v>
      </c>
    </row>
    <row r="76" spans="1:14" x14ac:dyDescent="0.25">
      <c r="A76" s="3">
        <v>2018</v>
      </c>
      <c r="B76" t="s">
        <v>10</v>
      </c>
      <c r="C76">
        <v>-6.4234569000000005E-2</v>
      </c>
      <c r="D76">
        <v>0</v>
      </c>
      <c r="E76">
        <v>-0.12175646</v>
      </c>
      <c r="F76">
        <v>5.3073513000000003E-2</v>
      </c>
      <c r="G76">
        <v>-0.25532510200000003</v>
      </c>
      <c r="H76">
        <v>8.0495128999999999E-2</v>
      </c>
      <c r="I76" s="9">
        <v>0</v>
      </c>
      <c r="K76" s="3">
        <f t="shared" si="5"/>
        <v>0.99744674897999996</v>
      </c>
      <c r="L76" s="1">
        <f t="shared" si="6"/>
        <v>0.99936107516837269</v>
      </c>
      <c r="M76">
        <f t="shared" si="7"/>
        <v>0.99920345644425557</v>
      </c>
      <c r="N76" s="9">
        <f t="shared" si="8"/>
        <v>-7.9654355574443336E-2</v>
      </c>
    </row>
    <row r="77" spans="1:14" x14ac:dyDescent="0.25">
      <c r="A77" s="3">
        <v>2018</v>
      </c>
      <c r="B77" t="s">
        <v>11</v>
      </c>
      <c r="C77">
        <v>2.8451480000000001E-2</v>
      </c>
      <c r="D77">
        <v>0</v>
      </c>
      <c r="E77">
        <v>0.36401577099999999</v>
      </c>
      <c r="F77">
        <v>-1.9876924000000001E-2</v>
      </c>
      <c r="G77">
        <v>0.18295858400000001</v>
      </c>
      <c r="H77">
        <v>0.200934111</v>
      </c>
      <c r="I77" s="9">
        <v>0</v>
      </c>
      <c r="K77" s="3">
        <f t="shared" si="5"/>
        <v>1.0018295858399999</v>
      </c>
      <c r="L77" s="1">
        <f t="shared" si="6"/>
        <v>1.000457082977221</v>
      </c>
      <c r="M77">
        <f t="shared" si="7"/>
        <v>1.0001321651154416</v>
      </c>
      <c r="N77" s="9">
        <f t="shared" si="8"/>
        <v>1.3216511544156262E-2</v>
      </c>
    </row>
    <row r="78" spans="1:14" x14ac:dyDescent="0.25">
      <c r="A78" s="3">
        <v>2018</v>
      </c>
      <c r="B78" t="s">
        <v>12</v>
      </c>
      <c r="C78">
        <v>0.14910252099999999</v>
      </c>
      <c r="D78">
        <v>0</v>
      </c>
      <c r="E78">
        <v>0.24364086600000001</v>
      </c>
      <c r="F78">
        <v>0.22170388799999999</v>
      </c>
      <c r="G78">
        <v>2.8179870000000001E-3</v>
      </c>
      <c r="H78">
        <v>1.9118989999999999E-2</v>
      </c>
      <c r="I78" s="9">
        <v>0</v>
      </c>
      <c r="K78" s="3">
        <f t="shared" si="5"/>
        <v>1.0000281798699999</v>
      </c>
      <c r="L78" s="1">
        <f t="shared" si="6"/>
        <v>1.0000070448930538</v>
      </c>
      <c r="M78">
        <f t="shared" si="7"/>
        <v>0.99996022587188205</v>
      </c>
      <c r="N78" s="9">
        <f t="shared" si="8"/>
        <v>-3.9774128117953111E-3</v>
      </c>
    </row>
    <row r="79" spans="1:14" x14ac:dyDescent="0.25">
      <c r="A79" s="3">
        <v>2018</v>
      </c>
      <c r="B79" t="s">
        <v>9</v>
      </c>
      <c r="C79">
        <v>7.6570900999999997E-2</v>
      </c>
      <c r="D79">
        <v>0</v>
      </c>
      <c r="E79">
        <v>-0.179616572</v>
      </c>
      <c r="F79">
        <v>2.6636573E-2</v>
      </c>
      <c r="G79">
        <v>-0.25212058399999998</v>
      </c>
      <c r="H79">
        <v>4.5867439000000003E-2</v>
      </c>
      <c r="I79" s="9">
        <v>0</v>
      </c>
      <c r="K79" s="3">
        <f t="shared" si="5"/>
        <v>0.99747879415999996</v>
      </c>
      <c r="L79" s="1">
        <f t="shared" si="6"/>
        <v>0.99936910174216087</v>
      </c>
      <c r="M79">
        <f t="shared" si="7"/>
        <v>0.99919412192018675</v>
      </c>
      <c r="N79" s="9">
        <f t="shared" si="8"/>
        <v>-8.0587807981324922E-2</v>
      </c>
    </row>
    <row r="80" spans="1:14" x14ac:dyDescent="0.25">
      <c r="A80" s="3">
        <v>2019</v>
      </c>
      <c r="B80" t="s">
        <v>10</v>
      </c>
      <c r="C80">
        <v>0.29468697599999999</v>
      </c>
      <c r="D80">
        <v>0</v>
      </c>
      <c r="E80">
        <v>0.75070784000000002</v>
      </c>
      <c r="F80">
        <v>-0.10493003200000001</v>
      </c>
      <c r="G80">
        <v>0.72402193000000004</v>
      </c>
      <c r="H80">
        <v>0.13161594200000001</v>
      </c>
      <c r="I80" s="9">
        <v>0</v>
      </c>
      <c r="K80" s="3">
        <f t="shared" si="5"/>
        <v>1.0072402193000001</v>
      </c>
      <c r="L80" s="1">
        <f t="shared" si="6"/>
        <v>1.001805161030517</v>
      </c>
      <c r="M80">
        <f t="shared" si="7"/>
        <v>1.0016377994733787</v>
      </c>
      <c r="N80" s="9">
        <f t="shared" si="8"/>
        <v>0.16377994733787204</v>
      </c>
    </row>
    <row r="81" spans="1:14" x14ac:dyDescent="0.25">
      <c r="A81" s="3">
        <v>2019</v>
      </c>
      <c r="B81" t="s">
        <v>11</v>
      </c>
      <c r="C81">
        <v>0.40079784200000002</v>
      </c>
      <c r="D81">
        <v>0</v>
      </c>
      <c r="E81">
        <v>0.78845923399999995</v>
      </c>
      <c r="F81">
        <v>0.35994835400000003</v>
      </c>
      <c r="G81">
        <v>0.37233893800000001</v>
      </c>
      <c r="H81">
        <v>5.6171943000000002E-2</v>
      </c>
      <c r="I81" s="9">
        <v>0</v>
      </c>
      <c r="K81" s="3">
        <f t="shared" si="5"/>
        <v>1.0037233893799999</v>
      </c>
      <c r="L81" s="1">
        <f t="shared" si="6"/>
        <v>1.000929550445576</v>
      </c>
      <c r="M81">
        <f t="shared" si="7"/>
        <v>1.0021108245370003</v>
      </c>
      <c r="N81" s="9">
        <f t="shared" si="8"/>
        <v>0.21108245370002887</v>
      </c>
    </row>
    <row r="82" spans="1:14" x14ac:dyDescent="0.25">
      <c r="A82" s="3">
        <v>2019</v>
      </c>
      <c r="B82" t="s">
        <v>12</v>
      </c>
      <c r="C82">
        <v>0.51620566800000001</v>
      </c>
      <c r="D82">
        <v>0</v>
      </c>
      <c r="E82">
        <v>0.70527217099999995</v>
      </c>
      <c r="F82">
        <v>0.18670524399999999</v>
      </c>
      <c r="G82">
        <v>0.25943554400000002</v>
      </c>
      <c r="H82">
        <v>0.25913138299999999</v>
      </c>
      <c r="I82" s="9">
        <v>0</v>
      </c>
      <c r="K82" s="3">
        <f t="shared" si="5"/>
        <v>1.0025943554400001</v>
      </c>
      <c r="L82" s="1">
        <f t="shared" si="6"/>
        <v>1.000647958811977</v>
      </c>
      <c r="M82">
        <f t="shared" si="7"/>
        <v>1.0027530867880809</v>
      </c>
      <c r="N82" s="9">
        <f t="shared" si="8"/>
        <v>0.27530867880809495</v>
      </c>
    </row>
    <row r="83" spans="1:14" x14ac:dyDescent="0.25">
      <c r="A83" s="3">
        <v>2019</v>
      </c>
      <c r="B83" t="s">
        <v>9</v>
      </c>
      <c r="C83">
        <v>0.66853608399999997</v>
      </c>
      <c r="D83">
        <v>1</v>
      </c>
      <c r="E83">
        <v>0.42970509200000001</v>
      </c>
      <c r="F83">
        <v>0.17303581500000001</v>
      </c>
      <c r="G83">
        <v>-6.3289027999999997E-2</v>
      </c>
      <c r="H83">
        <v>0.31995830400000003</v>
      </c>
      <c r="I83" s="9">
        <v>0</v>
      </c>
      <c r="K83" s="3">
        <f t="shared" si="5"/>
        <v>0.99936710971999998</v>
      </c>
      <c r="L83" s="1">
        <f t="shared" si="6"/>
        <v>0.99984173986455793</v>
      </c>
      <c r="M83">
        <f t="shared" si="7"/>
        <v>1.0032273253205122</v>
      </c>
      <c r="N83" s="9">
        <f t="shared" si="8"/>
        <v>0.32273253205121755</v>
      </c>
    </row>
    <row r="84" spans="1:14" x14ac:dyDescent="0.25">
      <c r="A84" s="3">
        <v>2020</v>
      </c>
      <c r="B84" t="s">
        <v>10</v>
      </c>
      <c r="C84">
        <v>0.59641810399999995</v>
      </c>
      <c r="D84">
        <v>1</v>
      </c>
      <c r="E84">
        <v>0.462235917</v>
      </c>
      <c r="F84">
        <v>0.31454015299999999</v>
      </c>
      <c r="G84">
        <v>0.132793205</v>
      </c>
      <c r="H84">
        <v>1.4902558999999999E-2</v>
      </c>
      <c r="I84" s="9">
        <v>0</v>
      </c>
      <c r="K84" s="3">
        <f t="shared" si="5"/>
        <v>1.0013279320499999</v>
      </c>
      <c r="L84" s="1">
        <f t="shared" si="6"/>
        <v>1.0003318178213629</v>
      </c>
      <c r="M84">
        <f t="shared" si="7"/>
        <v>1.0017518905508624</v>
      </c>
      <c r="N84" s="9">
        <f t="shared" si="8"/>
        <v>0.17518905508624449</v>
      </c>
    </row>
    <row r="85" spans="1:14" x14ac:dyDescent="0.25">
      <c r="A85" s="3">
        <v>2020</v>
      </c>
      <c r="B85" t="s">
        <v>11</v>
      </c>
      <c r="C85">
        <v>3.9184623190000001</v>
      </c>
      <c r="D85">
        <v>1</v>
      </c>
      <c r="E85">
        <v>14.0766361</v>
      </c>
      <c r="F85">
        <v>3.7731955149999998</v>
      </c>
      <c r="G85">
        <v>-2.5661040989999999</v>
      </c>
      <c r="H85">
        <v>12.869544680000001</v>
      </c>
      <c r="I85" s="9">
        <v>0</v>
      </c>
      <c r="K85" s="3">
        <f t="shared" si="5"/>
        <v>0.97433895901000001</v>
      </c>
      <c r="L85" s="1">
        <f t="shared" si="6"/>
        <v>0.99352206570074131</v>
      </c>
      <c r="M85">
        <f t="shared" si="7"/>
        <v>0.99433831999131472</v>
      </c>
      <c r="N85" s="9">
        <f t="shared" si="8"/>
        <v>-0.5661680008685277</v>
      </c>
    </row>
    <row r="86" spans="1:14" x14ac:dyDescent="0.25">
      <c r="A86" s="3">
        <v>2020</v>
      </c>
      <c r="B86" t="s">
        <v>12</v>
      </c>
      <c r="C86">
        <v>4.4326940930000003</v>
      </c>
      <c r="D86">
        <v>0</v>
      </c>
      <c r="E86">
        <v>2.7621992679999998</v>
      </c>
      <c r="F86">
        <v>-1.6365467199999999</v>
      </c>
      <c r="G86">
        <v>6.3330096000000002E-2</v>
      </c>
      <c r="H86">
        <v>4.3354158910000002</v>
      </c>
      <c r="I86" s="9">
        <v>0</v>
      </c>
      <c r="K86" s="3">
        <f t="shared" si="5"/>
        <v>1.0006333009599999</v>
      </c>
      <c r="L86" s="1">
        <f t="shared" si="6"/>
        <v>1.000158287653562</v>
      </c>
      <c r="M86">
        <f t="shared" si="7"/>
        <v>0.99385173648038172</v>
      </c>
      <c r="N86" s="9">
        <f t="shared" si="8"/>
        <v>-0.614826351961828</v>
      </c>
    </row>
    <row r="87" spans="1:14" x14ac:dyDescent="0.25">
      <c r="A87" s="3">
        <v>2020</v>
      </c>
      <c r="B87" t="s">
        <v>9</v>
      </c>
      <c r="C87">
        <v>3.4618844310000001</v>
      </c>
      <c r="D87">
        <v>0</v>
      </c>
      <c r="E87">
        <v>-3.4535335549999999</v>
      </c>
      <c r="F87">
        <v>-0.60872860600000001</v>
      </c>
      <c r="G87">
        <v>-6.7809563000000003E-2</v>
      </c>
      <c r="H87">
        <v>-2.7769953859999998</v>
      </c>
      <c r="I87" s="9">
        <v>0</v>
      </c>
      <c r="K87" s="3">
        <f t="shared" si="5"/>
        <v>0.99932190437000001</v>
      </c>
      <c r="L87" s="1">
        <f t="shared" si="6"/>
        <v>0.99983043296790775</v>
      </c>
      <c r="M87">
        <f t="shared" si="7"/>
        <v>0.99384049732280122</v>
      </c>
      <c r="N87" s="9">
        <f t="shared" si="8"/>
        <v>-0.61595026771987804</v>
      </c>
    </row>
    <row r="88" spans="1:14" x14ac:dyDescent="0.25">
      <c r="A88" s="3">
        <v>2021</v>
      </c>
      <c r="B88" t="s">
        <v>10</v>
      </c>
      <c r="C88">
        <v>5.3023403609999997</v>
      </c>
      <c r="D88">
        <v>0</v>
      </c>
      <c r="E88">
        <v>7.8240596350000002</v>
      </c>
      <c r="F88">
        <v>1.4055155720000001</v>
      </c>
      <c r="G88">
        <v>-0.69904513899999998</v>
      </c>
      <c r="H88">
        <v>7.1175892019999996</v>
      </c>
      <c r="I88" s="9">
        <v>0</v>
      </c>
      <c r="K88" s="3">
        <f t="shared" si="5"/>
        <v>0.99300954861000001</v>
      </c>
      <c r="L88" s="1">
        <f t="shared" si="6"/>
        <v>0.99824778715509388</v>
      </c>
      <c r="M88">
        <f t="shared" si="7"/>
        <v>0.99176999028013635</v>
      </c>
      <c r="N88" s="9">
        <f t="shared" si="8"/>
        <v>-0.82300097198636513</v>
      </c>
    </row>
    <row r="89" spans="1:14" x14ac:dyDescent="0.25">
      <c r="A89" s="3">
        <v>2021</v>
      </c>
      <c r="B89" t="s">
        <v>11</v>
      </c>
      <c r="C89">
        <v>1.1701889809999999</v>
      </c>
      <c r="D89">
        <v>0</v>
      </c>
      <c r="E89">
        <v>-2.4519694250000001</v>
      </c>
      <c r="F89">
        <v>-0.31778155600000002</v>
      </c>
      <c r="G89">
        <v>-0.85300438199999995</v>
      </c>
      <c r="H89">
        <v>-1.2811834870000001</v>
      </c>
      <c r="I89" s="9">
        <v>0</v>
      </c>
      <c r="K89" s="3">
        <f t="shared" si="5"/>
        <v>0.99146995618</v>
      </c>
      <c r="L89" s="1">
        <f t="shared" si="6"/>
        <v>0.99786063349786036</v>
      </c>
      <c r="M89">
        <f t="shared" si="7"/>
        <v>0.99610090701618648</v>
      </c>
      <c r="N89" s="9">
        <f t="shared" si="8"/>
        <v>-0.38990929838135235</v>
      </c>
    </row>
    <row r="90" spans="1:14" x14ac:dyDescent="0.25">
      <c r="A90" s="3">
        <v>2021</v>
      </c>
      <c r="B90" t="s">
        <v>12</v>
      </c>
      <c r="C90">
        <v>-0.26652709699999999</v>
      </c>
      <c r="D90">
        <v>0</v>
      </c>
      <c r="E90">
        <v>-2.9846650440000002</v>
      </c>
      <c r="F90">
        <v>-0.49670611599999998</v>
      </c>
      <c r="G90">
        <v>-0.13091092800000001</v>
      </c>
      <c r="H90">
        <v>-2.3570479999999998</v>
      </c>
      <c r="I90" s="9">
        <v>0</v>
      </c>
      <c r="K90" s="3">
        <f t="shared" si="5"/>
        <v>0.99869089071999995</v>
      </c>
      <c r="L90" s="1">
        <f t="shared" si="6"/>
        <v>0.99967256189153131</v>
      </c>
      <c r="M90">
        <f t="shared" si="7"/>
        <v>0.99561715171655796</v>
      </c>
      <c r="N90" s="9">
        <f t="shared" si="8"/>
        <v>-0.43828482834420424</v>
      </c>
    </row>
    <row r="91" spans="1:14" x14ac:dyDescent="0.25">
      <c r="A91" s="3">
        <v>2021</v>
      </c>
      <c r="B91" t="s">
        <v>9</v>
      </c>
      <c r="C91">
        <v>-0.195701454</v>
      </c>
      <c r="D91">
        <v>0</v>
      </c>
      <c r="E91">
        <v>-3.1702309820000001</v>
      </c>
      <c r="F91">
        <v>0.20108087199999999</v>
      </c>
      <c r="G91">
        <v>-0.60877844000000003</v>
      </c>
      <c r="H91">
        <v>-2.762533414</v>
      </c>
      <c r="I91" s="9">
        <v>0</v>
      </c>
      <c r="K91" s="3">
        <f t="shared" si="5"/>
        <v>0.99391221559999998</v>
      </c>
      <c r="L91" s="1">
        <f t="shared" si="6"/>
        <v>0.99847456702962545</v>
      </c>
      <c r="M91">
        <f t="shared" si="7"/>
        <v>0.99426699939165331</v>
      </c>
      <c r="N91" s="9">
        <f t="shared" si="8"/>
        <v>-0.57330006083466944</v>
      </c>
    </row>
    <row r="92" spans="1:14" x14ac:dyDescent="0.25">
      <c r="A92" s="3">
        <v>2022</v>
      </c>
      <c r="B92" t="s">
        <v>10</v>
      </c>
      <c r="C92">
        <v>-3.0940480350000001</v>
      </c>
      <c r="D92">
        <v>0</v>
      </c>
      <c r="E92">
        <v>-3.7693266909999998</v>
      </c>
      <c r="F92">
        <v>-0.1530242</v>
      </c>
      <c r="G92">
        <v>-0.71584209300000001</v>
      </c>
      <c r="H92">
        <v>-2.9004603969999998</v>
      </c>
      <c r="I92" s="9">
        <v>0</v>
      </c>
      <c r="K92" s="3">
        <f t="shared" si="5"/>
        <v>0.99284157907000004</v>
      </c>
      <c r="L92" s="1">
        <f t="shared" si="6"/>
        <v>0.99820557057750081</v>
      </c>
      <c r="M92">
        <f t="shared" si="7"/>
        <v>0.99422495116428111</v>
      </c>
      <c r="N92" s="9">
        <f t="shared" si="8"/>
        <v>-0.57750488357188878</v>
      </c>
    </row>
    <row r="93" spans="1:14" x14ac:dyDescent="0.25">
      <c r="A93" s="3">
        <v>2022</v>
      </c>
      <c r="B93" t="s">
        <v>11</v>
      </c>
      <c r="C93">
        <v>-3.627316923</v>
      </c>
      <c r="D93">
        <v>0</v>
      </c>
      <c r="E93">
        <v>-4.5850449759999998</v>
      </c>
      <c r="F93">
        <v>0.39208452799999999</v>
      </c>
      <c r="G93">
        <v>-1.066858595</v>
      </c>
      <c r="H93">
        <v>-3.9102709080000002</v>
      </c>
      <c r="I93" s="9">
        <v>0</v>
      </c>
      <c r="K93" s="3">
        <f t="shared" si="5"/>
        <v>0.98933141405000002</v>
      </c>
      <c r="L93" s="1">
        <f t="shared" si="6"/>
        <v>0.99732211610972099</v>
      </c>
      <c r="M93">
        <f t="shared" si="7"/>
        <v>0.99368839585189517</v>
      </c>
      <c r="N93" s="9">
        <f t="shared" si="8"/>
        <v>-0.63116041481048324</v>
      </c>
    </row>
    <row r="94" spans="1:14" x14ac:dyDescent="0.25">
      <c r="A94" s="3">
        <v>2022</v>
      </c>
      <c r="B94" t="s">
        <v>12</v>
      </c>
      <c r="C94">
        <v>-3.4435165900000002</v>
      </c>
      <c r="D94">
        <v>0</v>
      </c>
      <c r="E94">
        <v>-2.2494637110000002</v>
      </c>
      <c r="F94">
        <v>-0.33157498600000002</v>
      </c>
      <c r="G94">
        <v>0.50567063099999998</v>
      </c>
      <c r="H94">
        <v>-2.4235593569999998</v>
      </c>
      <c r="I94" s="9">
        <v>0</v>
      </c>
      <c r="K94" s="3">
        <f t="shared" si="5"/>
        <v>1.00505670631</v>
      </c>
      <c r="L94" s="1">
        <f t="shared" si="6"/>
        <v>1.0012617864105511</v>
      </c>
      <c r="M94">
        <f t="shared" si="7"/>
        <v>0.99526810707250246</v>
      </c>
      <c r="N94" s="9">
        <f t="shared" si="8"/>
        <v>-0.47318929274975385</v>
      </c>
    </row>
    <row r="95" spans="1:14" x14ac:dyDescent="0.25">
      <c r="A95" s="3">
        <v>2022</v>
      </c>
      <c r="B95" t="s">
        <v>9</v>
      </c>
      <c r="C95">
        <v>-2.7768768659999998</v>
      </c>
      <c r="D95">
        <v>0</v>
      </c>
      <c r="E95">
        <v>-0.50367208399999996</v>
      </c>
      <c r="F95">
        <v>-0.229820476</v>
      </c>
      <c r="G95">
        <v>0.83451831300000001</v>
      </c>
      <c r="H95">
        <v>-1.108369921</v>
      </c>
      <c r="I95" s="9">
        <v>0</v>
      </c>
      <c r="K95" s="3">
        <f t="shared" si="5"/>
        <v>1.0083451831300001</v>
      </c>
      <c r="L95" s="1">
        <f t="shared" si="6"/>
        <v>1.0020797984392047</v>
      </c>
      <c r="M95">
        <f t="shared" si="7"/>
        <v>0.9988617607909388</v>
      </c>
      <c r="N95" s="9">
        <f t="shared" si="8"/>
        <v>-0.11382392090611981</v>
      </c>
    </row>
    <row r="96" spans="1:14" x14ac:dyDescent="0.25">
      <c r="A96" s="3">
        <v>2023</v>
      </c>
      <c r="B96" t="s">
        <v>10</v>
      </c>
      <c r="C96">
        <v>-1.7960832689999999</v>
      </c>
      <c r="D96">
        <v>0</v>
      </c>
      <c r="E96">
        <v>0.15384769500000001</v>
      </c>
      <c r="F96">
        <v>9.9264345000000004E-2</v>
      </c>
      <c r="G96">
        <v>0.42751576000000002</v>
      </c>
      <c r="H96">
        <v>-0.37293241100000002</v>
      </c>
      <c r="I96" s="9">
        <v>0</v>
      </c>
      <c r="K96" s="3">
        <f t="shared" si="5"/>
        <v>1.0042751576</v>
      </c>
      <c r="L96" s="1">
        <f t="shared" si="6"/>
        <v>1.0010670801944221</v>
      </c>
      <c r="M96">
        <f t="shared" si="7"/>
        <v>1.001725151477914</v>
      </c>
      <c r="N96" s="9">
        <f t="shared" si="8"/>
        <v>0.17251514779139665</v>
      </c>
    </row>
    <row r="97" spans="1:14" x14ac:dyDescent="0.25">
      <c r="A97" s="3">
        <v>2023</v>
      </c>
      <c r="B97" t="s">
        <v>11</v>
      </c>
      <c r="C97">
        <v>-0.676483214</v>
      </c>
      <c r="D97">
        <v>0</v>
      </c>
      <c r="E97">
        <v>-0.10664475499999999</v>
      </c>
      <c r="F97">
        <v>-0.17528575900000001</v>
      </c>
      <c r="G97">
        <v>0.43635109799999999</v>
      </c>
      <c r="H97">
        <v>-0.36771009399999999</v>
      </c>
      <c r="I97" s="9">
        <v>0</v>
      </c>
      <c r="K97" s="3">
        <f t="shared" si="5"/>
        <v>1.00436351098</v>
      </c>
      <c r="L97" s="1">
        <f t="shared" si="6"/>
        <v>1.0010890972535926</v>
      </c>
      <c r="M97">
        <f t="shared" si="7"/>
        <v>1.0055087633080404</v>
      </c>
      <c r="N97" s="9">
        <f t="shared" si="8"/>
        <v>0.55087633080403986</v>
      </c>
    </row>
    <row r="98" spans="1:14" x14ac:dyDescent="0.25">
      <c r="A98" s="3">
        <v>2023</v>
      </c>
      <c r="B98" t="s">
        <v>12</v>
      </c>
      <c r="C98">
        <v>4.5684572E-2</v>
      </c>
      <c r="D98">
        <v>0</v>
      </c>
      <c r="E98">
        <v>0.63920743199999996</v>
      </c>
      <c r="F98">
        <v>-6.3071619999999998E-3</v>
      </c>
      <c r="G98">
        <v>0.68495228200000002</v>
      </c>
      <c r="H98">
        <v>-3.9437687999999999E-2</v>
      </c>
      <c r="I98" s="9">
        <v>0</v>
      </c>
      <c r="K98" s="3">
        <f t="shared" si="5"/>
        <v>1.0068495228200001</v>
      </c>
      <c r="L98" s="1">
        <f t="shared" si="6"/>
        <v>1.0017079998250833</v>
      </c>
      <c r="M98">
        <f t="shared" si="7"/>
        <v>1.0059568693924901</v>
      </c>
      <c r="N98" s="9">
        <f t="shared" si="8"/>
        <v>0.59568693924900717</v>
      </c>
    </row>
    <row r="99" spans="1:14" x14ac:dyDescent="0.25">
      <c r="A99" s="3">
        <v>2023</v>
      </c>
      <c r="B99" t="s">
        <v>9</v>
      </c>
      <c r="C99">
        <v>0.21347708200000001</v>
      </c>
      <c r="D99">
        <v>0</v>
      </c>
      <c r="E99">
        <v>0.167497959</v>
      </c>
      <c r="F99">
        <v>-0.24240535299999999</v>
      </c>
      <c r="G99">
        <v>0.50296561900000003</v>
      </c>
      <c r="H99">
        <v>-9.3062307999999996E-2</v>
      </c>
      <c r="I99" s="9">
        <v>0</v>
      </c>
      <c r="K99" s="3">
        <f t="shared" ref="K99:K105" si="9">1+(G99/100)</f>
        <v>1.0050296561900001</v>
      </c>
      <c r="L99" s="1">
        <f t="shared" si="6"/>
        <v>1.0012550493466963</v>
      </c>
      <c r="M99">
        <f t="shared" si="7"/>
        <v>1.0051289293258145</v>
      </c>
      <c r="N99" s="9">
        <f t="shared" si="8"/>
        <v>0.51289293258145463</v>
      </c>
    </row>
    <row r="100" spans="1:14" x14ac:dyDescent="0.25">
      <c r="A100" s="3">
        <v>2024</v>
      </c>
      <c r="B100" t="s">
        <v>10</v>
      </c>
      <c r="C100">
        <v>0.14814321799999999</v>
      </c>
      <c r="D100">
        <v>0</v>
      </c>
      <c r="E100">
        <v>-0.107487761</v>
      </c>
      <c r="F100">
        <v>-0.238986588</v>
      </c>
      <c r="G100">
        <v>0.114684359</v>
      </c>
      <c r="H100">
        <v>1.6814467E-2</v>
      </c>
      <c r="I100" s="9">
        <v>1</v>
      </c>
      <c r="K100" s="3">
        <f t="shared" si="9"/>
        <v>1.0011468435899999</v>
      </c>
      <c r="L100" s="1">
        <f t="shared" si="6"/>
        <v>1.0002865876752167</v>
      </c>
      <c r="M100">
        <f t="shared" si="7"/>
        <v>1.0043452699430451</v>
      </c>
      <c r="N100" s="9">
        <f t="shared" si="8"/>
        <v>0.43452699430450714</v>
      </c>
    </row>
    <row r="101" spans="1:14" x14ac:dyDescent="0.25">
      <c r="A101" s="3">
        <v>2024</v>
      </c>
      <c r="B101" t="s">
        <v>11</v>
      </c>
      <c r="C101">
        <v>1.8133429E-2</v>
      </c>
      <c r="D101">
        <v>0</v>
      </c>
      <c r="E101">
        <v>-0.62668391199999995</v>
      </c>
      <c r="F101">
        <v>-0.38835282999999998</v>
      </c>
      <c r="G101">
        <v>0.30538047600000001</v>
      </c>
      <c r="H101">
        <v>-0.54371155800000004</v>
      </c>
      <c r="I101" s="9">
        <v>1</v>
      </c>
      <c r="K101" s="3">
        <f t="shared" si="9"/>
        <v>1.0030538047599999</v>
      </c>
      <c r="L101" s="1">
        <f t="shared" si="6"/>
        <v>1.0007625784576004</v>
      </c>
      <c r="M101">
        <f t="shared" si="7"/>
        <v>1.0040176891021371</v>
      </c>
      <c r="N101" s="9">
        <f t="shared" si="8"/>
        <v>0.40176891021370675</v>
      </c>
    </row>
    <row r="102" spans="1:14" x14ac:dyDescent="0.25">
      <c r="A102" s="3">
        <v>2024</v>
      </c>
      <c r="B102" t="s">
        <v>12</v>
      </c>
      <c r="C102">
        <v>-0.32429075600000001</v>
      </c>
      <c r="D102">
        <v>0</v>
      </c>
      <c r="E102">
        <v>-0.73048930899999998</v>
      </c>
      <c r="F102">
        <v>-0.102554993</v>
      </c>
      <c r="G102">
        <v>-6.2955266999999995E-2</v>
      </c>
      <c r="H102">
        <v>-0.56497904899999996</v>
      </c>
      <c r="I102" s="9">
        <v>1</v>
      </c>
      <c r="K102" s="3">
        <f t="shared" si="9"/>
        <v>0.99937044733000002</v>
      </c>
      <c r="L102" s="1">
        <f t="shared" si="6"/>
        <v>0.99984257466229587</v>
      </c>
      <c r="M102">
        <f t="shared" si="7"/>
        <v>1.0021479627333132</v>
      </c>
      <c r="N102" s="9">
        <f t="shared" si="8"/>
        <v>0.21479627333131912</v>
      </c>
    </row>
    <row r="103" spans="1:14" x14ac:dyDescent="0.25">
      <c r="A103" s="3">
        <v>2024</v>
      </c>
      <c r="B103" t="s">
        <v>9</v>
      </c>
      <c r="C103">
        <v>-0.47471820100000001</v>
      </c>
      <c r="D103">
        <v>0</v>
      </c>
      <c r="E103">
        <v>-0.43421182000000003</v>
      </c>
      <c r="F103">
        <v>-9.2222904999999994E-2</v>
      </c>
      <c r="G103">
        <v>-0.108865384</v>
      </c>
      <c r="H103">
        <v>-0.23312353099999999</v>
      </c>
      <c r="I103" s="9">
        <v>1</v>
      </c>
      <c r="K103" s="3">
        <f t="shared" si="9"/>
        <v>0.99891134615999999</v>
      </c>
      <c r="L103" s="1">
        <f t="shared" si="6"/>
        <v>0.9997277253599639</v>
      </c>
      <c r="M103">
        <f t="shared" si="7"/>
        <v>1.0006192766879982</v>
      </c>
      <c r="N103" s="9">
        <f t="shared" si="8"/>
        <v>6.1927668799821589E-2</v>
      </c>
    </row>
    <row r="104" spans="1:14" x14ac:dyDescent="0.25">
      <c r="A104" s="3">
        <v>2025</v>
      </c>
      <c r="B104" t="s">
        <v>10</v>
      </c>
      <c r="C104">
        <v>-0.62235631700000005</v>
      </c>
      <c r="D104">
        <v>0</v>
      </c>
      <c r="E104">
        <v>-0.69804022799999998</v>
      </c>
      <c r="F104">
        <v>-0.41915565999999999</v>
      </c>
      <c r="G104">
        <v>0.207777454</v>
      </c>
      <c r="H104">
        <v>-0.486662023</v>
      </c>
      <c r="I104" s="9">
        <v>1</v>
      </c>
      <c r="K104" s="3">
        <f t="shared" si="9"/>
        <v>1.00207777454</v>
      </c>
      <c r="L104" s="1">
        <f t="shared" si="6"/>
        <v>1.0005190393923156</v>
      </c>
      <c r="M104">
        <f t="shared" si="7"/>
        <v>1.0008518057170726</v>
      </c>
      <c r="N104" s="9">
        <f t="shared" si="8"/>
        <v>8.5180571707255126E-2</v>
      </c>
    </row>
    <row r="105" spans="1:14" x14ac:dyDescent="0.25">
      <c r="A105" s="3">
        <v>2025</v>
      </c>
      <c r="B105" t="s">
        <v>11</v>
      </c>
      <c r="C105">
        <v>-0.61679778699999999</v>
      </c>
      <c r="D105">
        <v>0</v>
      </c>
      <c r="E105">
        <v>-0.60444979099999996</v>
      </c>
      <c r="F105">
        <v>-0.283161522</v>
      </c>
      <c r="G105">
        <v>8.8235034000000004E-2</v>
      </c>
      <c r="H105">
        <v>-0.40952330300000001</v>
      </c>
      <c r="I105" s="9">
        <v>1</v>
      </c>
      <c r="K105" s="3">
        <f t="shared" si="9"/>
        <v>1.0008823503399999</v>
      </c>
      <c r="L105" s="1">
        <f t="shared" si="6"/>
        <v>1.0002205146342207</v>
      </c>
      <c r="M105">
        <f t="shared" si="7"/>
        <v>1.0003096935636788</v>
      </c>
      <c r="N105" s="9">
        <f t="shared" si="8"/>
        <v>3.0969356367882561E-2</v>
      </c>
    </row>
    <row r="106" spans="1:14" x14ac:dyDescent="0.25">
      <c r="A106" s="3">
        <v>2025</v>
      </c>
      <c r="B106" t="s">
        <v>12</v>
      </c>
      <c r="C106">
        <v>-0.49448991199999998</v>
      </c>
      <c r="D106">
        <v>0</v>
      </c>
      <c r="E106">
        <v>-0.24125780699999999</v>
      </c>
      <c r="F106">
        <v>-0.125771566</v>
      </c>
      <c r="G106">
        <v>-7.8233338999999999E-2</v>
      </c>
      <c r="H106">
        <v>-3.7252901999999997E-2</v>
      </c>
      <c r="I106" s="9">
        <v>1</v>
      </c>
      <c r="K106" s="3">
        <f t="shared" ref="K106:K107" si="10">1+(G106/100)</f>
        <v>0.99921766661</v>
      </c>
      <c r="L106" s="1">
        <f t="shared" ref="L106:L107" si="11">K106^(1/4)</f>
        <v>0.99980435924703148</v>
      </c>
      <c r="M106">
        <f t="shared" ref="M106:M107" si="12">L106*L105*L104*L103</f>
        <v>1.0002714602944609</v>
      </c>
      <c r="N106" s="9">
        <f t="shared" ref="N106:N107" si="13">(M106-1)*100</f>
        <v>2.7146029446090125E-2</v>
      </c>
    </row>
    <row r="107" spans="1:14" x14ac:dyDescent="0.25">
      <c r="A107" s="4">
        <v>2025</v>
      </c>
      <c r="B107" s="10" t="s">
        <v>9</v>
      </c>
      <c r="C107" s="10">
        <v>-0.39710054700000003</v>
      </c>
      <c r="D107" s="10">
        <v>0</v>
      </c>
      <c r="E107" s="10">
        <v>-4.4654362000000003E-2</v>
      </c>
      <c r="F107" s="10">
        <v>-0.15966027299999999</v>
      </c>
      <c r="G107" s="10">
        <v>-2.1330926E-2</v>
      </c>
      <c r="H107" s="10">
        <v>0.13633683699999999</v>
      </c>
      <c r="I107" s="11">
        <v>1</v>
      </c>
      <c r="K107" s="4">
        <f t="shared" si="10"/>
        <v>0.99978669074000004</v>
      </c>
      <c r="L107" s="12">
        <f t="shared" si="11"/>
        <v>0.99994666841876534</v>
      </c>
      <c r="M107" s="10">
        <f t="shared" si="12"/>
        <v>1.0004905224326746</v>
      </c>
      <c r="N107" s="11">
        <f t="shared" si="13"/>
        <v>4.9052243267455609E-2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interactive-01-2024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Lorae Stojanovic</dc:creator>
  <cp:lastModifiedBy>Lorae Stojanovic</cp:lastModifiedBy>
  <dcterms:created xsi:type="dcterms:W3CDTF">2024-02-03T01:42:29Z</dcterms:created>
  <dcterms:modified xsi:type="dcterms:W3CDTF">2024-02-05T19:50:11Z</dcterms:modified>
</cp:coreProperties>
</file>